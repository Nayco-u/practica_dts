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ractico.idi2.LOCAL\Desktop\StoreForward2026\Informes\"/>
    </mc:Choice>
  </mc:AlternateContent>
  <xr:revisionPtr revIDLastSave="0" documentId="13_ncr:1_{1E64A269-C8C6-42B8-958F-46F8227E1A8E}" xr6:coauthVersionLast="47" xr6:coauthVersionMax="47" xr10:uidLastSave="{00000000-0000-0000-0000-000000000000}"/>
  <bookViews>
    <workbookView xWindow="9510" yWindow="0" windowWidth="9780" windowHeight="10170" firstSheet="1" activeTab="1" xr2:uid="{92954132-65A6-428B-A2FA-A44D89BDE57A}"/>
  </bookViews>
  <sheets>
    <sheet name="UR" sheetId="1" r:id="rId1"/>
    <sheet name="SR" sheetId="3" r:id="rId2"/>
    <sheet name="TRAZABILIDAD" sheetId="4" r:id="rId3"/>
    <sheet name="MT" sheetId="2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W18" i="2" l="1" a="1"/>
  <c r="W18" i="2" s="1"/>
  <c r="V18" i="2" a="1"/>
  <c r="V18" i="2" s="1"/>
  <c r="W2" i="2" a="1"/>
  <c r="W2" i="2" s="1"/>
  <c r="V2" i="2" a="1"/>
  <c r="V2" i="2" s="1"/>
  <c r="A2" i="2" a="1"/>
  <c r="A2" i="2" s="1"/>
  <c r="B1" i="2" a="1"/>
  <c r="B1" i="2" s="1"/>
  <c r="P2" i="2" l="1"/>
  <c r="P11" i="2"/>
  <c r="P9" i="2"/>
  <c r="P8" i="2"/>
  <c r="P7" i="2"/>
  <c r="P6" i="2"/>
  <c r="P5" i="2"/>
  <c r="P13" i="2"/>
  <c r="P4" i="2"/>
  <c r="P12" i="2"/>
  <c r="P3" i="2"/>
  <c r="P10" i="2"/>
  <c r="B2" i="2"/>
  <c r="I2" i="2"/>
  <c r="G4" i="2"/>
  <c r="D2" i="2"/>
  <c r="G3" i="2"/>
  <c r="J4" i="2"/>
  <c r="M5" i="2"/>
  <c r="C7" i="2"/>
  <c r="N8" i="2"/>
  <c r="D10" i="2"/>
  <c r="G11" i="2"/>
  <c r="J12" i="2"/>
  <c r="M13" i="2"/>
  <c r="E2" i="2"/>
  <c r="H3" i="2"/>
  <c r="K4" i="2"/>
  <c r="N5" i="2"/>
  <c r="L7" i="2"/>
  <c r="O8" i="2"/>
  <c r="E10" i="2"/>
  <c r="H11" i="2"/>
  <c r="K12" i="2"/>
  <c r="N13" i="2"/>
  <c r="F2" i="2"/>
  <c r="I3" i="2"/>
  <c r="D4" i="2"/>
  <c r="G5" i="2"/>
  <c r="J6" i="2"/>
  <c r="M7" i="2"/>
  <c r="C9" i="2"/>
  <c r="F10" i="2"/>
  <c r="I11" i="2"/>
  <c r="G13" i="2"/>
  <c r="G2" i="2"/>
  <c r="O2" i="2"/>
  <c r="J3" i="2"/>
  <c r="E4" i="2"/>
  <c r="M4" i="2"/>
  <c r="H5" i="2"/>
  <c r="C6" i="2"/>
  <c r="K6" i="2"/>
  <c r="F7" i="2"/>
  <c r="N7" i="2"/>
  <c r="I8" i="2"/>
  <c r="D9" i="2"/>
  <c r="L9" i="2"/>
  <c r="G10" i="2"/>
  <c r="O10" i="2"/>
  <c r="J11" i="2"/>
  <c r="E12" i="2"/>
  <c r="M12" i="2"/>
  <c r="H13" i="2"/>
  <c r="D3" i="2"/>
  <c r="O4" i="2"/>
  <c r="L2" i="2"/>
  <c r="O3" i="2"/>
  <c r="E5" i="2"/>
  <c r="H6" i="2"/>
  <c r="K7" i="2"/>
  <c r="F8" i="2"/>
  <c r="I9" i="2"/>
  <c r="L10" i="2"/>
  <c r="O11" i="2"/>
  <c r="E13" i="2"/>
  <c r="M2" i="2"/>
  <c r="C4" i="2"/>
  <c r="F5" i="2"/>
  <c r="I6" i="2"/>
  <c r="D7" i="2"/>
  <c r="G8" i="2"/>
  <c r="J9" i="2"/>
  <c r="M10" i="2"/>
  <c r="C12" i="2"/>
  <c r="F13" i="2"/>
  <c r="N2" i="2"/>
  <c r="L4" i="2"/>
  <c r="O5" i="2"/>
  <c r="E7" i="2"/>
  <c r="H8" i="2"/>
  <c r="K9" i="2"/>
  <c r="N10" i="2"/>
  <c r="D12" i="2"/>
  <c r="L12" i="2"/>
  <c r="O13" i="2"/>
  <c r="H2" i="2"/>
  <c r="C3" i="2"/>
  <c r="K3" i="2"/>
  <c r="F4" i="2"/>
  <c r="N4" i="2"/>
  <c r="I5" i="2"/>
  <c r="D6" i="2"/>
  <c r="L6" i="2"/>
  <c r="G7" i="2"/>
  <c r="O7" i="2"/>
  <c r="J8" i="2"/>
  <c r="E9" i="2"/>
  <c r="M9" i="2"/>
  <c r="H10" i="2"/>
  <c r="C11" i="2"/>
  <c r="K11" i="2"/>
  <c r="F12" i="2"/>
  <c r="N12" i="2"/>
  <c r="I13" i="2"/>
  <c r="L3" i="2"/>
  <c r="J5" i="2"/>
  <c r="E6" i="2"/>
  <c r="M6" i="2"/>
  <c r="H7" i="2"/>
  <c r="C8" i="2"/>
  <c r="K8" i="2"/>
  <c r="F9" i="2"/>
  <c r="N9" i="2"/>
  <c r="I10" i="2"/>
  <c r="D11" i="2"/>
  <c r="L11" i="2"/>
  <c r="G12" i="2"/>
  <c r="O12" i="2"/>
  <c r="J13" i="2"/>
  <c r="J2" i="2"/>
  <c r="E3" i="2"/>
  <c r="M3" i="2"/>
  <c r="H4" i="2"/>
  <c r="C5" i="2"/>
  <c r="K5" i="2"/>
  <c r="F6" i="2"/>
  <c r="N6" i="2"/>
  <c r="I7" i="2"/>
  <c r="D8" i="2"/>
  <c r="L8" i="2"/>
  <c r="G9" i="2"/>
  <c r="O9" i="2"/>
  <c r="J10" i="2"/>
  <c r="E11" i="2"/>
  <c r="M11" i="2"/>
  <c r="H12" i="2"/>
  <c r="C13" i="2"/>
  <c r="K13" i="2"/>
  <c r="C2" i="2"/>
  <c r="K2" i="2"/>
  <c r="F3" i="2"/>
  <c r="N3" i="2"/>
  <c r="I4" i="2"/>
  <c r="D5" i="2"/>
  <c r="L5" i="2"/>
  <c r="G6" i="2"/>
  <c r="O6" i="2"/>
  <c r="J7" i="2"/>
  <c r="E8" i="2"/>
  <c r="M8" i="2"/>
  <c r="H9" i="2"/>
  <c r="C10" i="2"/>
  <c r="K10" i="2"/>
  <c r="F11" i="2"/>
  <c r="N11" i="2"/>
  <c r="I12" i="2"/>
  <c r="D13" i="2"/>
  <c r="L13" i="2"/>
  <c r="B8" i="2"/>
  <c r="B7" i="2"/>
  <c r="B6" i="2"/>
  <c r="B13" i="2"/>
  <c r="B5" i="2"/>
  <c r="B12" i="2"/>
  <c r="B4" i="2"/>
  <c r="B11" i="2"/>
  <c r="B3" i="2"/>
  <c r="B10" i="2"/>
  <c r="B9" i="2"/>
  <c r="Q3" i="2" l="1"/>
  <c r="Q11" i="2"/>
  <c r="Q4" i="2"/>
  <c r="Q10" i="2"/>
  <c r="Q12" i="2"/>
  <c r="Q5" i="2"/>
  <c r="Q9" i="2"/>
  <c r="Q6" i="2"/>
  <c r="Q13" i="2"/>
  <c r="Q2" i="2"/>
  <c r="Q7" i="2"/>
  <c r="Q8" i="2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<sst xmlns="http://schemas.openxmlformats.org/spreadsheetml/2006/main" count="227" uniqueCount="86">
  <si>
    <t>ID</t>
  </si>
  <si>
    <t>Tipo</t>
  </si>
  <si>
    <t>Estado</t>
  </si>
  <si>
    <t>Propuesto</t>
  </si>
  <si>
    <t>Funcional</t>
  </si>
  <si>
    <t>Pruebas</t>
  </si>
  <si>
    <t>UR-01</t>
  </si>
  <si>
    <t>UR-02</t>
  </si>
  <si>
    <t>UR-03</t>
  </si>
  <si>
    <t>UR-04</t>
  </si>
  <si>
    <t>UR-05</t>
  </si>
  <si>
    <t>UR-06</t>
  </si>
  <si>
    <t>UR-07</t>
  </si>
  <si>
    <t>UR-08</t>
  </si>
  <si>
    <t>UR-09</t>
  </si>
  <si>
    <t>UR-10</t>
  </si>
  <si>
    <t>UR-11</t>
  </si>
  <si>
    <t>UR-12</t>
  </si>
  <si>
    <t>Descripción del Requerimiento</t>
  </si>
  <si>
    <t>El sistema debe operar de forma sostenida durante la vida útil del satélite.</t>
  </si>
  <si>
    <t>SR-01</t>
  </si>
  <si>
    <t>SR-02</t>
  </si>
  <si>
    <t>SR-03</t>
  </si>
  <si>
    <t>SR-04</t>
  </si>
  <si>
    <t>SR-05</t>
  </si>
  <si>
    <t>SR-06</t>
  </si>
  <si>
    <t>SR-07</t>
  </si>
  <si>
    <t>El sistema debe sobrescribir datos antiguos al alcanzar capacidad máxima.</t>
  </si>
  <si>
    <t>SR-08</t>
  </si>
  <si>
    <t>SR-09</t>
  </si>
  <si>
    <t>SR-10</t>
  </si>
  <si>
    <t>SR-11</t>
  </si>
  <si>
    <t>SR-12</t>
  </si>
  <si>
    <t>SR-13</t>
  </si>
  <si>
    <t>El sistema debe consumir un máximo de 10 W en operación nominal.</t>
  </si>
  <si>
    <t>SR-14</t>
  </si>
  <si>
    <t>El sistema debe ser completamente verificable en tierra y en órbita.</t>
  </si>
  <si>
    <t>El sistema debe integrarse de forma genérica en un satélite CubeSat clase 12U en órbita LEO.</t>
  </si>
  <si>
    <t>El sistema debe cubrir el territorio chileno continental, zonas extremas, territorio insular y territorio antártico.</t>
  </si>
  <si>
    <t>El sistema debe ser compatible con estaciones meteorológicas y sismológicas remotas existentes.</t>
  </si>
  <si>
    <t>El sistema debe ser de carácter experimental, con proyección a futuras aplicaciones comerciales.</t>
  </si>
  <si>
    <t>El sistema debe garantizar la integridad de los datos almacenados a bordo.</t>
  </si>
  <si>
    <t>El sistema debe ser validado mediante pruebas funcionales en tierra y demostración en órbita.</t>
  </si>
  <si>
    <t>El sistema debe presentar una arquitectura modular, reutilizable y escalable.</t>
  </si>
  <si>
    <t>El sistema debe proveer un servicio Store &amp; Forward satelital para transmisión de datos.</t>
  </si>
  <si>
    <t>Tipos</t>
  </si>
  <si>
    <t>El sistema debe ser capaz de almacenar y reenviar datos a estaciones terrenas.</t>
  </si>
  <si>
    <t>El sistema debe utilizar componentes de bajo costo, tales como componentes COTS.</t>
  </si>
  <si>
    <t>Regulatorio/Logístico</t>
  </si>
  <si>
    <t>Técnico</t>
  </si>
  <si>
    <t>El sistema debe permitir una comunicación bidireccional con estaciones terrenas.</t>
  </si>
  <si>
    <t>El sistema debe soportar comunicación half-duplex o full-duplex con estaciones terrenas.</t>
  </si>
  <si>
    <t>El sistema debe implementar mecanismos de integridad de datos y control de acceso.</t>
  </si>
  <si>
    <t>El sistema debe recibir en una banda ancha en el espectro UHF. (430, 868, 928, 1620 MHz)</t>
  </si>
  <si>
    <t>El sistema debe transmitir en una banda permitida por la SUBTEL e ITU. (Banda S)</t>
  </si>
  <si>
    <t>El sistema debe diseñarse de forma modular, escalable y su firmware debe ser actualizable.</t>
  </si>
  <si>
    <t>El sistema debe implementar recepción, almacenamiento no volátil y reenvío de datos.</t>
  </si>
  <si>
    <t>El sistema debe utilizar modulación digital robusta (BPSK o QPSK) con una tasa de transmisión acorde al formato de datos.</t>
  </si>
  <si>
    <t>El sistema debe escuchar activamente y transmitir cuando el OBC lo ordene. (SDR)</t>
  </si>
  <si>
    <t>SR-15</t>
  </si>
  <si>
    <t>El sistema debe tener masa de 3 kg.</t>
  </si>
  <si>
    <t>El sistema debe tener dimensiones máximas 20 cm x 20 cm x 10 cm.</t>
  </si>
  <si>
    <t>El sistema debe ser resiliente a EMI y estar encapsulado en una jaula de Faraday.</t>
  </si>
  <si>
    <t>El sistema debe comunicarse con el OBC mediante una única interfaz (I2C) y reportar su estado periodicamente.</t>
  </si>
  <si>
    <t>Cobertura</t>
  </si>
  <si>
    <t>Versión</t>
  </si>
  <si>
    <t>1.0</t>
  </si>
  <si>
    <t>Prioridad</t>
  </si>
  <si>
    <t>Riesgo</t>
  </si>
  <si>
    <t>Dificultad</t>
  </si>
  <si>
    <t>Funcionales</t>
  </si>
  <si>
    <t>Interfaz</t>
  </si>
  <si>
    <t>Proceso</t>
  </si>
  <si>
    <t>No funcionales</t>
  </si>
  <si>
    <t>En desarrollo</t>
  </si>
  <si>
    <t>Terminado</t>
  </si>
  <si>
    <t>Baja</t>
  </si>
  <si>
    <t>Media</t>
  </si>
  <si>
    <t>Alta</t>
  </si>
  <si>
    <t>Riego</t>
  </si>
  <si>
    <t>Bajo</t>
  </si>
  <si>
    <t>Medio</t>
  </si>
  <si>
    <t>Alto</t>
  </si>
  <si>
    <t>ID SR</t>
  </si>
  <si>
    <t>ID UR</t>
  </si>
  <si>
    <t>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</si>
</sst>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5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0" fillId="0" borderId="0" xfId="0" applyAlignment="1">
      <alignment textRotation="90"/>
    </xf>
    <xf numFmtId="0" fontId="0" fillId="0" borderId="1" xfId="0" applyBorder="1" applyAlignment="1">
      <alignment horizontal="center" vertical="center"/>
    </xf>
    <xf numFmtId="0" fontId="0" fillId="2" borderId="1" xfId="0" applyFill="1" applyBorder="1" applyAlignment="1">
      <alignment textRotation="90"/>
    </xf>
    <xf numFmtId="0" fontId="0" fillId="3" borderId="1" xfId="0" applyFill="1" applyBorder="1"/>
    <xf numFmtId="0" fontId="0" fillId="0" borderId="0" xfId="0" applyAlignment="1">
      <alignment horizontal="center" vertical="center"/>
    </xf>
    <xf numFmtId="0" fontId="0" fillId="0" borderId="0" xfId="0" applyAlignment="1">
      <alignment vertical="center"/>
    </xf>
    <xf numFmtId="0" fontId="0" fillId="2" borderId="0" xfId="0" applyFill="1" applyAlignment="1">
      <alignment textRotation="90"/>
    </xf>
    <xf numFmtId="0" fontId="0" fillId="0" borderId="1" xfId="0" applyBorder="1" applyAlignment="1">
      <alignment textRotation="1" wrapText="1"/>
    </xf>
    <xf numFmtId="0" fontId="0" fillId="0" borderId="0" xfId="0" applyAlignment="1">
      <alignment horizontal="center" vertical="center" wrapText="1"/>
    </xf>
  </cellXfs>
  <cellStyles count="1">
    <cellStyle name="Normal" xfId="0" builtinId="0"/>
  </cellStyles>
  <dxfs count="26">
    <dxf>
      <fill>
        <patternFill>
          <bgColor rgb="FFFF0000"/>
        </patternFill>
      </fill>
    </dxf>
    <dxf>
      <fill>
        <patternFill>
          <bgColor theme="9" tint="0.79998168889431442"/>
        </patternFill>
      </fill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0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font>
        <b val="0"/>
      </font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 textRotation="0" wrapText="1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eetMetadata" Target="metadata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97C98EF0-3858-453F-9F9A-A07F55C32A1E}" name="Tabla_UR" displayName="Tabla_UR" ref="A1:H13" totalsRowShown="0" headerRowDxfId="25" dataDxfId="24">
  <autoFilter ref="A1:H13" xr:uid="{97C98EF0-3858-453F-9F9A-A07F55C32A1E}"/>
  <tableColumns count="8">
    <tableColumn id="1" xr3:uid="{9DA971DD-1D5B-41CD-BAEB-EAF0257EAB52}" name="ID" dataDxfId="23"/>
    <tableColumn id="4" xr3:uid="{29E9DD8F-0B45-4DE5-9BDA-D000917385AF}" name="Versión" dataDxfId="10"/>
    <tableColumn id="2" xr3:uid="{BB9FC176-474D-4CBC-8CE6-6EDA5F9BEC73}" name="Descripción del Requerimiento" dataDxfId="22"/>
    <tableColumn id="9" xr3:uid="{1B1AB0D7-27AC-4E41-94F8-7821BC3B25CD}" name="Prioridad" dataDxfId="8"/>
    <tableColumn id="10" xr3:uid="{E891BF7F-98BB-4AFD-A02F-D80C0111FA23}" name="Riesgo" dataDxfId="7"/>
    <tableColumn id="11" xr3:uid="{F520EB3B-41AE-4347-9348-F2F6CC4EA145}" name="Dificultad" dataDxfId="6"/>
    <tableColumn id="3" xr3:uid="{733FEF08-30C9-4542-95A8-75CCE4D3A7D0}" name="Tipo" dataDxfId="9"/>
    <tableColumn id="8" xr3:uid="{8963FEAC-3B2C-4B07-8268-11B965A523CD}" name="Estado" dataDxfId="21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CD2F8188-A8F4-4D32-94CE-EC6F3DD4A9CB}" name="Tabla_SR" displayName="Tabla_SR" ref="A1:H16" totalsRowShown="0" headerRowDxfId="20" dataDxfId="19">
  <autoFilter ref="A1:H16" xr:uid="{97C98EF0-3858-453F-9F9A-A07F55C32A1E}"/>
  <tableColumns count="8">
    <tableColumn id="1" xr3:uid="{9B26BE5A-394B-4698-999A-AFBA858BF34D}" name="ID" dataDxfId="18"/>
    <tableColumn id="7" xr3:uid="{5F63A228-01E6-4804-A201-3DB83A90BD6E}" name="Versión" dataDxfId="2"/>
    <tableColumn id="2" xr3:uid="{1F8C1EF1-FA6C-4618-937F-3C62E2CB8B6D}" name="Descripción del Requerimiento" dataDxfId="17"/>
    <tableColumn id="4" xr3:uid="{226C60AE-1C84-4BA7-BD7A-407CAD2246AC}" name="Prioridad" dataDxfId="5"/>
    <tableColumn id="5" xr3:uid="{4F854367-B147-489E-AD51-51B329F2CB1A}" name="Riesgo" dataDxfId="4"/>
    <tableColumn id="6" xr3:uid="{8C446348-9C98-4C71-92B1-4497E203D2ED}" name="Dificultad" dataDxfId="3"/>
    <tableColumn id="3" xr3:uid="{A1EF9B25-D677-45EE-A5DE-C49B0ED6F089}" name="Tipo" dataDxfId="16"/>
    <tableColumn id="8" xr3:uid="{E90B6E66-C38F-469F-BCBA-09A8604000EB}" name="Estado" dataDxfId="15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BDDE19A9-1C1B-4D33-9D96-CE5D2E77C48F}" name="Tabla_TUS" displayName="Tabla_TUS" ref="A1:B25" totalsRowShown="0" headerRowDxfId="14" dataDxfId="13">
  <autoFilter ref="A1:B25" xr:uid="{BDDE19A9-1C1B-4D33-9D96-CE5D2E77C48F}"/>
  <tableColumns count="2">
    <tableColumn id="1" xr3:uid="{E5E494CE-E699-47F2-A47D-8D4F736A86A2}" name="ID UR" dataDxfId="12"/>
    <tableColumn id="2" xr3:uid="{32387B3C-59B5-4688-B8E2-C15526A3EB89}" name="ID SR" dataDxfId="11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C49830FC-1E1B-4EF8-80B8-4A61EC25503B}" name="Tabla4" displayName="Tabla4" ref="D1:H5" totalsRowShown="0">
  <autoFilter ref="D1:H5" xr:uid="{C49830FC-1E1B-4EF8-80B8-4A61EC25503B}"/>
  <tableColumns count="5">
    <tableColumn id="1" xr3:uid="{902D4CA5-A49E-4CC6-8A49-E24CC780C546}" name="Prioridad"/>
    <tableColumn id="2" xr3:uid="{C43AA336-E912-4C7B-A985-CBD983276B76}" name="Riego"/>
    <tableColumn id="3" xr3:uid="{29CB713A-0526-48DC-815A-BADF9EAAD8AC}" name="Dificultad"/>
    <tableColumn id="4" xr3:uid="{2153FF5F-DBCC-4944-A301-7F84CC3F4165}" name="Tipos"/>
    <tableColumn id="5" xr3:uid="{E912EE23-FE93-4633-9F46-009A03FED966}" name="Estado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table" Target="../tables/table4.xml"/><Relationship Id="rId2" Type="http://schemas.openxmlformats.org/officeDocument/2006/relationships/table" Target="../tables/table3.xml"/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B320D4-0368-4735-8685-CAA70A5723E4}">
  <dimension ref="A1:H37"/>
  <sheetViews>
    <sheetView zoomScaleNormal="100" workbookViewId="0">
      <selection activeCell="C3" sqref="C3"/>
    </sheetView>
  </sheetViews>
  <sheetFormatPr baseColWidth="10" defaultRowHeight="14.5" x14ac:dyDescent="0.35"/>
  <cols>
    <col min="1" max="1" width="7.1796875" bestFit="1" customWidth="1"/>
    <col min="2" max="2" width="11.7265625" bestFit="1" customWidth="1"/>
    <col min="3" max="3" width="32.6328125" bestFit="1" customWidth="1"/>
    <col min="4" max="4" width="13.08984375" bestFit="1" customWidth="1"/>
    <col min="5" max="5" width="10.7265625" bestFit="1" customWidth="1"/>
    <col min="6" max="6" width="13.36328125" bestFit="1" customWidth="1"/>
    <col min="7" max="7" width="10.36328125" bestFit="1" customWidth="1"/>
    <col min="8" max="8" width="11.08984375" bestFit="1" customWidth="1"/>
  </cols>
  <sheetData>
    <row r="1" spans="1:8" x14ac:dyDescent="0.35">
      <c r="A1" s="1" t="s">
        <v>0</v>
      </c>
      <c r="B1" s="1" t="s">
        <v>65</v>
      </c>
      <c r="C1" s="1" t="s">
        <v>18</v>
      </c>
      <c r="D1" s="1" t="s">
        <v>67</v>
      </c>
      <c r="E1" s="1" t="s">
        <v>68</v>
      </c>
      <c r="F1" s="1" t="s">
        <v>69</v>
      </c>
      <c r="G1" s="1" t="s">
        <v>1</v>
      </c>
      <c r="H1" s="1" t="s">
        <v>2</v>
      </c>
    </row>
    <row r="2" spans="1:8" ht="43.5" x14ac:dyDescent="0.35">
      <c r="A2" s="2" t="s">
        <v>6</v>
      </c>
      <c r="B2" s="11" t="s">
        <v>66</v>
      </c>
      <c r="C2" s="2" t="s">
        <v>44</v>
      </c>
      <c r="D2" s="2"/>
      <c r="E2" s="2"/>
      <c r="F2" s="2"/>
      <c r="G2" s="2" t="s">
        <v>4</v>
      </c>
      <c r="H2" s="2" t="s">
        <v>3</v>
      </c>
    </row>
    <row r="3" spans="1:8" ht="43.5" x14ac:dyDescent="0.35">
      <c r="A3" s="2" t="s">
        <v>7</v>
      </c>
      <c r="B3" s="11" t="s">
        <v>66</v>
      </c>
      <c r="C3" s="2" t="s">
        <v>37</v>
      </c>
      <c r="D3" s="2"/>
      <c r="E3" s="2"/>
      <c r="F3" s="2"/>
      <c r="G3" s="2" t="s">
        <v>49</v>
      </c>
      <c r="H3" s="2" t="s">
        <v>3</v>
      </c>
    </row>
    <row r="4" spans="1:8" ht="43.5" x14ac:dyDescent="0.35">
      <c r="A4" s="2" t="s">
        <v>8</v>
      </c>
      <c r="B4" s="11" t="s">
        <v>66</v>
      </c>
      <c r="C4" s="2" t="s">
        <v>38</v>
      </c>
      <c r="D4" s="2"/>
      <c r="E4" s="2"/>
      <c r="F4" s="2"/>
      <c r="G4" s="2" t="s">
        <v>4</v>
      </c>
      <c r="H4" s="2" t="s">
        <v>3</v>
      </c>
    </row>
    <row r="5" spans="1:8" ht="43.5" x14ac:dyDescent="0.35">
      <c r="A5" s="2" t="s">
        <v>9</v>
      </c>
      <c r="B5" s="11" t="s">
        <v>66</v>
      </c>
      <c r="C5" s="2" t="s">
        <v>46</v>
      </c>
      <c r="D5" s="2"/>
      <c r="E5" s="2"/>
      <c r="F5" s="2"/>
      <c r="G5" s="2" t="s">
        <v>4</v>
      </c>
      <c r="H5" s="2" t="s">
        <v>3</v>
      </c>
    </row>
    <row r="6" spans="1:8" ht="43.5" x14ac:dyDescent="0.35">
      <c r="A6" s="2" t="s">
        <v>10</v>
      </c>
      <c r="B6" s="11" t="s">
        <v>66</v>
      </c>
      <c r="C6" s="2" t="s">
        <v>50</v>
      </c>
      <c r="D6" s="2"/>
      <c r="E6" s="2"/>
      <c r="F6" s="2"/>
      <c r="G6" s="2" t="s">
        <v>4</v>
      </c>
      <c r="H6" s="2" t="s">
        <v>3</v>
      </c>
    </row>
    <row r="7" spans="1:8" ht="43.5" x14ac:dyDescent="0.35">
      <c r="A7" s="2" t="s">
        <v>11</v>
      </c>
      <c r="B7" s="11" t="s">
        <v>66</v>
      </c>
      <c r="C7" s="2" t="s">
        <v>39</v>
      </c>
      <c r="D7" s="2"/>
      <c r="E7" s="2"/>
      <c r="F7" s="2"/>
      <c r="G7" s="2" t="s">
        <v>4</v>
      </c>
      <c r="H7" s="2" t="s">
        <v>3</v>
      </c>
    </row>
    <row r="8" spans="1:8" ht="43.5" x14ac:dyDescent="0.35">
      <c r="A8" s="2" t="s">
        <v>12</v>
      </c>
      <c r="B8" s="11" t="s">
        <v>66</v>
      </c>
      <c r="C8" s="2" t="s">
        <v>40</v>
      </c>
      <c r="D8" s="2"/>
      <c r="E8" s="2"/>
      <c r="F8" s="2"/>
      <c r="G8" s="2" t="s">
        <v>49</v>
      </c>
      <c r="H8" s="2" t="s">
        <v>3</v>
      </c>
    </row>
    <row r="9" spans="1:8" ht="43.5" x14ac:dyDescent="0.35">
      <c r="A9" s="2" t="s">
        <v>13</v>
      </c>
      <c r="B9" s="11" t="s">
        <v>66</v>
      </c>
      <c r="C9" s="2" t="s">
        <v>43</v>
      </c>
      <c r="D9" s="2"/>
      <c r="E9" s="2"/>
      <c r="F9" s="2"/>
      <c r="G9" s="2" t="s">
        <v>49</v>
      </c>
      <c r="H9" s="2" t="s">
        <v>3</v>
      </c>
    </row>
    <row r="10" spans="1:8" ht="43.5" x14ac:dyDescent="0.35">
      <c r="A10" s="2" t="s">
        <v>14</v>
      </c>
      <c r="B10" s="11" t="s">
        <v>66</v>
      </c>
      <c r="C10" s="2" t="s">
        <v>41</v>
      </c>
      <c r="D10" s="2"/>
      <c r="E10" s="2"/>
      <c r="F10" s="2"/>
      <c r="G10" s="2" t="s">
        <v>4</v>
      </c>
      <c r="H10" s="2" t="s">
        <v>3</v>
      </c>
    </row>
    <row r="11" spans="1:8" ht="43.5" x14ac:dyDescent="0.35">
      <c r="A11" s="2" t="s">
        <v>15</v>
      </c>
      <c r="B11" s="11" t="s">
        <v>66</v>
      </c>
      <c r="C11" s="2" t="s">
        <v>19</v>
      </c>
      <c r="D11" s="2"/>
      <c r="E11" s="2"/>
      <c r="F11" s="2"/>
      <c r="G11" s="2" t="s">
        <v>49</v>
      </c>
      <c r="H11" s="2" t="s">
        <v>3</v>
      </c>
    </row>
    <row r="12" spans="1:8" ht="43.5" x14ac:dyDescent="0.35">
      <c r="A12" s="2" t="s">
        <v>16</v>
      </c>
      <c r="B12" s="11" t="s">
        <v>66</v>
      </c>
      <c r="C12" s="2" t="s">
        <v>42</v>
      </c>
      <c r="D12" s="2"/>
      <c r="E12" s="2"/>
      <c r="F12" s="2"/>
      <c r="G12" s="2" t="s">
        <v>48</v>
      </c>
      <c r="H12" s="2" t="s">
        <v>3</v>
      </c>
    </row>
    <row r="13" spans="1:8" ht="43.5" x14ac:dyDescent="0.35">
      <c r="A13" s="2" t="s">
        <v>17</v>
      </c>
      <c r="B13" s="11" t="s">
        <v>66</v>
      </c>
      <c r="C13" s="2" t="s">
        <v>47</v>
      </c>
      <c r="D13" s="2"/>
      <c r="E13" s="2"/>
      <c r="F13" s="2"/>
      <c r="G13" s="2" t="s">
        <v>48</v>
      </c>
      <c r="H13" s="2" t="s">
        <v>3</v>
      </c>
    </row>
    <row r="21" spans="1:8" x14ac:dyDescent="0.35">
      <c r="A21" s="2"/>
      <c r="B21" s="2"/>
      <c r="C21" s="2"/>
      <c r="D21" s="2"/>
      <c r="E21" s="2"/>
      <c r="F21" s="2"/>
      <c r="G21" s="2"/>
      <c r="H21" s="2"/>
    </row>
    <row r="22" spans="1:8" x14ac:dyDescent="0.35">
      <c r="A22" s="2"/>
      <c r="B22" s="2"/>
      <c r="C22" s="2"/>
      <c r="D22" s="2"/>
      <c r="E22" s="2"/>
      <c r="F22" s="2"/>
      <c r="G22" s="2"/>
      <c r="H22" s="2"/>
    </row>
    <row r="23" spans="1:8" x14ac:dyDescent="0.35">
      <c r="A23" s="2"/>
      <c r="B23" s="2"/>
      <c r="C23" s="2"/>
      <c r="D23" s="2"/>
      <c r="E23" s="2"/>
      <c r="F23" s="2"/>
      <c r="G23" s="2"/>
      <c r="H23" s="2"/>
    </row>
    <row r="24" spans="1:8" x14ac:dyDescent="0.35">
      <c r="A24" s="2"/>
      <c r="B24" s="2"/>
      <c r="C24" s="2"/>
      <c r="D24" s="2"/>
      <c r="E24" s="2"/>
      <c r="F24" s="2"/>
      <c r="G24" s="2"/>
      <c r="H24" s="2"/>
    </row>
    <row r="25" spans="1:8" x14ac:dyDescent="0.35">
      <c r="A25" s="2"/>
      <c r="B25" s="2"/>
      <c r="C25" s="2"/>
      <c r="D25" s="2"/>
      <c r="E25" s="2"/>
      <c r="F25" s="2"/>
      <c r="G25" s="2"/>
      <c r="H25" s="2"/>
    </row>
    <row r="26" spans="1:8" x14ac:dyDescent="0.35">
      <c r="A26" s="2"/>
      <c r="B26" s="2"/>
      <c r="C26" s="2"/>
      <c r="D26" s="2"/>
      <c r="E26" s="2"/>
      <c r="F26" s="2"/>
      <c r="G26" s="2"/>
      <c r="H26" s="2"/>
    </row>
    <row r="27" spans="1:8" x14ac:dyDescent="0.35">
      <c r="A27" s="2"/>
      <c r="B27" s="2"/>
      <c r="C27" s="2"/>
      <c r="D27" s="2"/>
      <c r="E27" s="2"/>
      <c r="F27" s="2"/>
      <c r="G27" s="2"/>
      <c r="H27" s="2"/>
    </row>
    <row r="28" spans="1:8" x14ac:dyDescent="0.35">
      <c r="A28" s="2"/>
      <c r="B28" s="2"/>
      <c r="C28" s="2"/>
      <c r="D28" s="2"/>
      <c r="E28" s="2"/>
      <c r="F28" s="2"/>
      <c r="G28" s="2"/>
      <c r="H28" s="2"/>
    </row>
    <row r="29" spans="1:8" x14ac:dyDescent="0.35">
      <c r="A29" s="2"/>
      <c r="B29" s="2"/>
      <c r="C29" s="2"/>
      <c r="D29" s="2"/>
      <c r="E29" s="2"/>
      <c r="F29" s="2"/>
      <c r="G29" s="2"/>
      <c r="H29" s="2"/>
    </row>
    <row r="30" spans="1:8" x14ac:dyDescent="0.35">
      <c r="A30" s="2"/>
      <c r="B30" s="2"/>
      <c r="C30" s="2"/>
      <c r="D30" s="2"/>
      <c r="E30" s="2"/>
      <c r="F30" s="2"/>
      <c r="G30" s="2"/>
      <c r="H30" s="2"/>
    </row>
    <row r="31" spans="1:8" x14ac:dyDescent="0.35">
      <c r="A31" s="2"/>
      <c r="B31" s="2"/>
      <c r="C31" s="2"/>
      <c r="D31" s="2"/>
      <c r="E31" s="2"/>
      <c r="F31" s="2"/>
      <c r="G31" s="2"/>
      <c r="H31" s="2"/>
    </row>
    <row r="32" spans="1:8" x14ac:dyDescent="0.35">
      <c r="A32" s="2"/>
      <c r="B32" s="2"/>
      <c r="C32" s="2"/>
      <c r="D32" s="2"/>
      <c r="E32" s="2"/>
      <c r="F32" s="2"/>
      <c r="G32" s="2"/>
      <c r="H32" s="2"/>
    </row>
    <row r="33" spans="1:8" x14ac:dyDescent="0.35">
      <c r="A33" s="2"/>
      <c r="B33" s="2"/>
      <c r="C33" s="2"/>
      <c r="D33" s="2"/>
      <c r="E33" s="2"/>
      <c r="F33" s="2"/>
      <c r="G33" s="2"/>
      <c r="H33" s="2"/>
    </row>
    <row r="34" spans="1:8" x14ac:dyDescent="0.35">
      <c r="A34" s="2"/>
      <c r="B34" s="2"/>
      <c r="C34" s="2"/>
      <c r="D34" s="2"/>
      <c r="E34" s="2"/>
      <c r="F34" s="2"/>
      <c r="G34" s="2"/>
      <c r="H34" s="2"/>
    </row>
    <row r="35" spans="1:8" x14ac:dyDescent="0.35">
      <c r="A35" s="2"/>
      <c r="B35" s="2"/>
      <c r="C35" s="2"/>
      <c r="D35" s="2"/>
      <c r="E35" s="2"/>
      <c r="F35" s="2"/>
      <c r="G35" s="2"/>
      <c r="H35" s="2"/>
    </row>
    <row r="36" spans="1:8" x14ac:dyDescent="0.35">
      <c r="A36" s="2"/>
      <c r="B36" s="2"/>
      <c r="C36" s="2"/>
      <c r="D36" s="2"/>
      <c r="E36" s="2"/>
      <c r="F36" s="2"/>
      <c r="G36" s="2"/>
      <c r="H36" s="2"/>
    </row>
    <row r="37" spans="1:8" x14ac:dyDescent="0.35">
      <c r="A37" s="2"/>
      <c r="B37" s="2"/>
      <c r="C37" s="2"/>
      <c r="D37" s="2"/>
      <c r="E37" s="2"/>
      <c r="F37" s="2"/>
      <c r="G37" s="2"/>
      <c r="H37" s="2"/>
    </row>
  </sheetData>
  <phoneticPr fontId="2" type="noConversion"/>
  <dataValidations count="2">
    <dataValidation type="list" allowBlank="1" showInputMessage="1" showErrorMessage="1" sqref="H21:H22" xr:uid="{71345460-ED30-4F78-B204-65DC38DA2A82}">
      <formula1>#REF!</formula1>
    </dataValidation>
    <dataValidation type="list" allowBlank="1" showInputMessage="1" showErrorMessage="1" sqref="G2:H13 G21:G22" xr:uid="{355BD7CA-8E98-42D3-A2F7-487415ED6FFF}">
      <formula1>#REF!</formula1>
    </dataValidation>
  </dataValidations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81D52B-CD2C-489F-B99A-26CA0D77ED0C}">
  <dimension ref="A1:H49"/>
  <sheetViews>
    <sheetView tabSelected="1" topLeftCell="D10" zoomScaleNormal="100" zoomScaleSheetLayoutView="100" workbookViewId="0">
      <selection activeCellId="3" sqref="A14:H16 H13 A13:F13 A1:H12"/>
    </sheetView>
  </sheetViews>
  <sheetFormatPr baseColWidth="10" defaultRowHeight="14.5" x14ac:dyDescent="0.35"/>
  <cols>
    <col min="1" max="1" width="7.1796875" bestFit="1" customWidth="1"/>
    <col min="2" max="2" width="11.7265625" bestFit="1" customWidth="1"/>
    <col min="3" max="3" width="32.7265625" customWidth="1"/>
    <col min="4" max="4" width="13.08984375" bestFit="1" customWidth="1"/>
    <col min="5" max="5" width="10.7265625" bestFit="1" customWidth="1"/>
    <col min="6" max="6" width="13.36328125" bestFit="1" customWidth="1"/>
    <col min="7" max="7" width="10.36328125" customWidth="1"/>
    <col min="8" max="8" width="12.08984375" bestFit="1" customWidth="1"/>
  </cols>
  <sheetData>
    <row r="1" spans="1:8" x14ac:dyDescent="0.35">
      <c r="A1" s="1" t="s">
        <v>0</v>
      </c>
      <c r="B1" s="1" t="s">
        <v>65</v>
      </c>
      <c r="C1" s="1" t="s">
        <v>18</v>
      </c>
      <c r="D1" s="1" t="s">
        <v>67</v>
      </c>
      <c r="E1" s="1" t="s">
        <v>68</v>
      </c>
      <c r="F1" s="1" t="s">
        <v>69</v>
      </c>
      <c r="G1" s="7" t="s">
        <v>1</v>
      </c>
      <c r="H1" s="1" t="s">
        <v>2</v>
      </c>
    </row>
    <row r="2" spans="1:8" ht="43.5" x14ac:dyDescent="0.35">
      <c r="A2" s="2" t="s">
        <v>20</v>
      </c>
      <c r="B2" s="11" t="s">
        <v>66</v>
      </c>
      <c r="C2" s="2" t="s">
        <v>56</v>
      </c>
      <c r="D2" s="2"/>
      <c r="E2" s="2"/>
      <c r="F2" s="2"/>
      <c r="G2" s="2" t="s">
        <v>4</v>
      </c>
      <c r="H2" s="2" t="s">
        <v>3</v>
      </c>
    </row>
    <row r="3" spans="1:8" ht="43.5" x14ac:dyDescent="0.35">
      <c r="A3" s="2" t="s">
        <v>21</v>
      </c>
      <c r="B3" s="11" t="s">
        <v>66</v>
      </c>
      <c r="C3" s="2" t="s">
        <v>54</v>
      </c>
      <c r="D3" s="2"/>
      <c r="E3" s="2"/>
      <c r="F3" s="2"/>
      <c r="G3" s="2" t="s">
        <v>48</v>
      </c>
      <c r="H3" s="2" t="s">
        <v>3</v>
      </c>
    </row>
    <row r="4" spans="1:8" ht="43.5" x14ac:dyDescent="0.35">
      <c r="A4" s="2" t="s">
        <v>22</v>
      </c>
      <c r="B4" s="11" t="s">
        <v>66</v>
      </c>
      <c r="C4" s="2" t="s">
        <v>51</v>
      </c>
      <c r="D4" s="2"/>
      <c r="E4" s="2"/>
      <c r="F4" s="2"/>
      <c r="G4" s="2" t="s">
        <v>4</v>
      </c>
      <c r="H4" s="2" t="s">
        <v>3</v>
      </c>
    </row>
    <row r="5" spans="1:8" ht="58" x14ac:dyDescent="0.35">
      <c r="A5" s="2" t="s">
        <v>23</v>
      </c>
      <c r="B5" s="11" t="s">
        <v>66</v>
      </c>
      <c r="C5" s="2" t="s">
        <v>57</v>
      </c>
      <c r="D5" s="2"/>
      <c r="E5" s="2"/>
      <c r="F5" s="2"/>
      <c r="G5" s="2" t="s">
        <v>49</v>
      </c>
      <c r="H5" s="2" t="s">
        <v>3</v>
      </c>
    </row>
    <row r="6" spans="1:8" ht="43.5" x14ac:dyDescent="0.35">
      <c r="A6" s="2" t="s">
        <v>24</v>
      </c>
      <c r="B6" s="11" t="s">
        <v>66</v>
      </c>
      <c r="C6" s="2" t="s">
        <v>27</v>
      </c>
      <c r="D6" s="2"/>
      <c r="E6" s="2"/>
      <c r="F6" s="2"/>
      <c r="G6" s="2" t="s">
        <v>4</v>
      </c>
      <c r="H6" s="2" t="s">
        <v>3</v>
      </c>
    </row>
    <row r="7" spans="1:8" ht="58" x14ac:dyDescent="0.35">
      <c r="A7" s="2" t="s">
        <v>25</v>
      </c>
      <c r="B7" s="11" t="s">
        <v>66</v>
      </c>
      <c r="C7" s="2" t="s">
        <v>63</v>
      </c>
      <c r="D7" s="2"/>
      <c r="E7" s="2"/>
      <c r="F7" s="2"/>
      <c r="G7" s="2" t="s">
        <v>4</v>
      </c>
      <c r="H7" s="2" t="s">
        <v>3</v>
      </c>
    </row>
    <row r="8" spans="1:8" ht="43.5" x14ac:dyDescent="0.35">
      <c r="A8" s="2" t="s">
        <v>26</v>
      </c>
      <c r="B8" s="11" t="s">
        <v>66</v>
      </c>
      <c r="C8" s="2" t="s">
        <v>53</v>
      </c>
      <c r="D8" s="2"/>
      <c r="E8" s="2"/>
      <c r="F8" s="2"/>
      <c r="G8" s="2" t="s">
        <v>4</v>
      </c>
      <c r="H8" s="2" t="s">
        <v>3</v>
      </c>
    </row>
    <row r="9" spans="1:8" ht="29" x14ac:dyDescent="0.35">
      <c r="A9" s="2" t="s">
        <v>28</v>
      </c>
      <c r="B9" s="11" t="s">
        <v>66</v>
      </c>
      <c r="C9" s="2" t="s">
        <v>34</v>
      </c>
      <c r="D9" s="2"/>
      <c r="E9" s="2"/>
      <c r="F9" s="2"/>
      <c r="G9" s="2" t="s">
        <v>49</v>
      </c>
      <c r="H9" s="2" t="s">
        <v>3</v>
      </c>
    </row>
    <row r="10" spans="1:8" ht="43.5" x14ac:dyDescent="0.35">
      <c r="A10" s="2" t="s">
        <v>29</v>
      </c>
      <c r="B10" s="11" t="s">
        <v>66</v>
      </c>
      <c r="C10" s="2" t="s">
        <v>58</v>
      </c>
      <c r="D10" s="2"/>
      <c r="E10" s="2"/>
      <c r="F10" s="2"/>
      <c r="G10" s="2" t="s">
        <v>4</v>
      </c>
      <c r="H10" s="2" t="s">
        <v>3</v>
      </c>
    </row>
    <row r="11" spans="1:8" ht="43.5" x14ac:dyDescent="0.35">
      <c r="A11" s="2" t="s">
        <v>30</v>
      </c>
      <c r="B11" s="11" t="s">
        <v>66</v>
      </c>
      <c r="C11" s="2" t="s">
        <v>62</v>
      </c>
      <c r="D11" s="2"/>
      <c r="E11" s="2"/>
      <c r="F11" s="2"/>
      <c r="G11" s="2" t="s">
        <v>49</v>
      </c>
      <c r="H11" s="2" t="s">
        <v>3</v>
      </c>
    </row>
    <row r="12" spans="1:8" ht="43.5" x14ac:dyDescent="0.35">
      <c r="A12" s="2" t="s">
        <v>31</v>
      </c>
      <c r="B12" s="11" t="s">
        <v>66</v>
      </c>
      <c r="C12" s="2" t="s">
        <v>52</v>
      </c>
      <c r="D12" s="2"/>
      <c r="E12" s="2"/>
      <c r="F12" s="2"/>
      <c r="G12" s="2" t="s">
        <v>49</v>
      </c>
      <c r="H12" s="2" t="s">
        <v>3</v>
      </c>
    </row>
    <row r="13" spans="1:8" ht="43.5" x14ac:dyDescent="0.35">
      <c r="A13" s="2" t="s">
        <v>32</v>
      </c>
      <c r="B13" s="11" t="s">
        <v>66</v>
      </c>
      <c r="C13" s="2" t="s">
        <v>55</v>
      </c>
      <c r="D13" s="2"/>
      <c r="E13" s="2"/>
      <c r="F13" s="2"/>
      <c r="G13" s="2" t="s">
        <v>49</v>
      </c>
      <c r="H13" s="2" t="s">
        <v>3</v>
      </c>
    </row>
    <row r="14" spans="1:8" ht="29" x14ac:dyDescent="0.35">
      <c r="A14" s="2" t="s">
        <v>33</v>
      </c>
      <c r="B14" s="11" t="s">
        <v>66</v>
      </c>
      <c r="C14" s="2" t="s">
        <v>36</v>
      </c>
      <c r="D14" s="2"/>
      <c r="E14" s="2"/>
      <c r="F14" s="2"/>
      <c r="G14" s="2" t="s">
        <v>48</v>
      </c>
      <c r="H14" s="2" t="s">
        <v>3</v>
      </c>
    </row>
    <row r="15" spans="1:8" ht="29" x14ac:dyDescent="0.35">
      <c r="A15" s="2" t="s">
        <v>35</v>
      </c>
      <c r="B15" s="11" t="s">
        <v>66</v>
      </c>
      <c r="C15" s="2" t="s">
        <v>61</v>
      </c>
      <c r="D15" s="2"/>
      <c r="E15" s="2"/>
      <c r="F15" s="2"/>
      <c r="G15" s="2" t="s">
        <v>49</v>
      </c>
      <c r="H15" s="2" t="s">
        <v>3</v>
      </c>
    </row>
    <row r="16" spans="1:8" x14ac:dyDescent="0.35">
      <c r="A16" s="2" t="s">
        <v>59</v>
      </c>
      <c r="B16" s="11" t="s">
        <v>66</v>
      </c>
      <c r="C16" s="2" t="s">
        <v>60</v>
      </c>
      <c r="D16" s="2"/>
      <c r="E16" s="2"/>
      <c r="F16" s="2"/>
      <c r="G16" s="8" t="s">
        <v>49</v>
      </c>
      <c r="H16" s="2" t="s">
        <v>3</v>
      </c>
    </row>
    <row r="24" spans="1:8" x14ac:dyDescent="0.35">
      <c r="A24" s="2"/>
      <c r="B24" s="2"/>
      <c r="C24" s="2"/>
      <c r="D24" s="2"/>
      <c r="E24" s="2"/>
      <c r="F24" s="2"/>
      <c r="G24" s="2"/>
      <c r="H24" s="2"/>
    </row>
    <row r="25" spans="1:8" x14ac:dyDescent="0.35">
      <c r="A25" s="2"/>
      <c r="B25" s="2"/>
      <c r="C25" s="2"/>
      <c r="D25" s="2"/>
      <c r="E25" s="2"/>
      <c r="F25" s="2"/>
      <c r="G25" s="2"/>
      <c r="H25" s="2"/>
    </row>
    <row r="26" spans="1:8" x14ac:dyDescent="0.35">
      <c r="A26" s="2"/>
      <c r="B26" s="2"/>
      <c r="C26" s="2"/>
      <c r="D26" s="2"/>
      <c r="E26" s="2"/>
      <c r="F26" s="2"/>
      <c r="G26" s="2"/>
      <c r="H26" s="2"/>
    </row>
    <row r="27" spans="1:8" x14ac:dyDescent="0.35">
      <c r="A27" s="2"/>
      <c r="B27" s="2"/>
      <c r="C27" s="2"/>
      <c r="D27" s="2"/>
      <c r="E27" s="2"/>
      <c r="F27" s="2"/>
      <c r="G27" s="2"/>
      <c r="H27" s="2"/>
    </row>
    <row r="28" spans="1:8" x14ac:dyDescent="0.35">
      <c r="A28" s="2"/>
      <c r="B28" s="2"/>
      <c r="C28" s="2"/>
      <c r="D28" s="2"/>
      <c r="E28" s="2"/>
      <c r="F28" s="2"/>
      <c r="G28" s="2"/>
      <c r="H28" s="2"/>
    </row>
    <row r="29" spans="1:8" x14ac:dyDescent="0.35">
      <c r="A29" s="2"/>
      <c r="B29" s="2"/>
      <c r="C29" s="2"/>
      <c r="D29" s="2"/>
      <c r="E29" s="2"/>
      <c r="F29" s="2"/>
      <c r="G29" s="2"/>
      <c r="H29" s="2"/>
    </row>
    <row r="30" spans="1:8" x14ac:dyDescent="0.35">
      <c r="A30" s="2"/>
      <c r="B30" s="2"/>
      <c r="C30" s="2"/>
      <c r="D30" s="2"/>
      <c r="E30" s="2"/>
      <c r="F30" s="2"/>
      <c r="G30" s="2"/>
      <c r="H30" s="2"/>
    </row>
    <row r="31" spans="1:8" x14ac:dyDescent="0.35">
      <c r="A31" s="2"/>
      <c r="B31" s="2"/>
      <c r="C31" s="2"/>
      <c r="D31" s="2"/>
      <c r="E31" s="2"/>
      <c r="F31" s="2"/>
      <c r="H31" s="2"/>
    </row>
    <row r="32" spans="1:8" x14ac:dyDescent="0.35">
      <c r="A32" s="2"/>
      <c r="B32" s="2"/>
      <c r="C32" s="2"/>
      <c r="D32" s="2"/>
      <c r="E32" s="2"/>
      <c r="F32" s="2"/>
      <c r="H32" s="2"/>
    </row>
    <row r="34" spans="1:8" x14ac:dyDescent="0.35">
      <c r="A34" s="1"/>
      <c r="B34" s="1"/>
      <c r="C34" s="1"/>
      <c r="D34" s="1"/>
      <c r="E34" s="1"/>
      <c r="F34" s="1"/>
      <c r="H34" s="1"/>
    </row>
    <row r="35" spans="1:8" x14ac:dyDescent="0.35">
      <c r="A35" s="2"/>
      <c r="B35" s="2"/>
      <c r="C35" s="2"/>
      <c r="D35" s="2"/>
      <c r="E35" s="2"/>
      <c r="F35" s="2"/>
      <c r="H35" s="2"/>
    </row>
    <row r="36" spans="1:8" x14ac:dyDescent="0.35">
      <c r="A36" s="2"/>
      <c r="B36" s="2"/>
      <c r="C36" s="2"/>
      <c r="D36" s="2"/>
      <c r="E36" s="2"/>
      <c r="F36" s="2"/>
      <c r="H36" s="2"/>
    </row>
    <row r="37" spans="1:8" x14ac:dyDescent="0.35">
      <c r="A37" s="2"/>
      <c r="B37" s="2"/>
      <c r="C37" s="2"/>
      <c r="D37" s="2"/>
      <c r="E37" s="2"/>
      <c r="F37" s="2"/>
      <c r="H37" s="2"/>
    </row>
    <row r="38" spans="1:8" x14ac:dyDescent="0.35">
      <c r="A38" s="2"/>
      <c r="B38" s="2"/>
      <c r="C38" s="2"/>
      <c r="D38" s="2"/>
      <c r="E38" s="2"/>
      <c r="F38" s="2"/>
      <c r="H38" s="2"/>
    </row>
    <row r="39" spans="1:8" x14ac:dyDescent="0.35">
      <c r="A39" s="2"/>
      <c r="B39" s="2"/>
      <c r="C39" s="2"/>
      <c r="D39" s="2"/>
      <c r="E39" s="2"/>
      <c r="F39" s="2"/>
      <c r="H39" s="2"/>
    </row>
    <row r="40" spans="1:8" x14ac:dyDescent="0.35">
      <c r="A40" s="2"/>
      <c r="B40" s="2"/>
      <c r="C40" s="2"/>
      <c r="D40" s="2"/>
      <c r="E40" s="2"/>
      <c r="F40" s="2"/>
      <c r="H40" s="2"/>
    </row>
    <row r="41" spans="1:8" x14ac:dyDescent="0.35">
      <c r="A41" s="2"/>
      <c r="B41" s="2"/>
      <c r="C41" s="2"/>
      <c r="D41" s="2"/>
      <c r="E41" s="2"/>
      <c r="F41" s="2"/>
      <c r="H41" s="2"/>
    </row>
    <row r="42" spans="1:8" x14ac:dyDescent="0.35">
      <c r="A42" s="2"/>
      <c r="B42" s="2"/>
      <c r="C42" s="2"/>
      <c r="D42" s="2"/>
      <c r="E42" s="2"/>
      <c r="F42" s="2"/>
      <c r="H42" s="2"/>
    </row>
    <row r="43" spans="1:8" x14ac:dyDescent="0.35">
      <c r="A43" s="2"/>
      <c r="B43" s="2"/>
      <c r="C43" s="2"/>
      <c r="D43" s="2"/>
      <c r="E43" s="2"/>
      <c r="F43" s="2"/>
      <c r="H43" s="2"/>
    </row>
    <row r="44" spans="1:8" x14ac:dyDescent="0.35">
      <c r="A44" s="2"/>
      <c r="B44" s="2"/>
      <c r="C44" s="2"/>
      <c r="D44" s="2"/>
      <c r="E44" s="2"/>
      <c r="F44" s="2"/>
      <c r="H44" s="2"/>
    </row>
    <row r="45" spans="1:8" x14ac:dyDescent="0.35">
      <c r="A45" s="2"/>
      <c r="B45" s="2"/>
      <c r="C45" s="2"/>
      <c r="D45" s="2"/>
      <c r="E45" s="2"/>
      <c r="F45" s="2"/>
      <c r="H45" s="2"/>
    </row>
    <row r="46" spans="1:8" x14ac:dyDescent="0.35">
      <c r="A46" s="2"/>
      <c r="B46" s="2"/>
      <c r="C46" s="2"/>
      <c r="D46" s="2"/>
      <c r="E46" s="2"/>
      <c r="F46" s="2"/>
      <c r="H46" s="2"/>
    </row>
    <row r="47" spans="1:8" x14ac:dyDescent="0.35">
      <c r="A47" s="2"/>
      <c r="B47" s="2"/>
      <c r="C47" s="2"/>
      <c r="D47" s="2"/>
      <c r="E47" s="2"/>
      <c r="F47" s="2"/>
      <c r="H47" s="2"/>
    </row>
    <row r="48" spans="1:8" x14ac:dyDescent="0.35">
      <c r="A48" s="2"/>
      <c r="B48" s="2"/>
      <c r="C48" s="2"/>
      <c r="D48" s="2"/>
      <c r="E48" s="2"/>
      <c r="F48" s="2"/>
      <c r="H48" s="2"/>
    </row>
    <row r="49" spans="1:8" x14ac:dyDescent="0.35">
      <c r="A49" s="2"/>
      <c r="B49" s="2"/>
      <c r="C49" s="2"/>
      <c r="D49" s="2"/>
      <c r="E49" s="2"/>
      <c r="F49" s="2"/>
      <c r="H49" s="2"/>
    </row>
  </sheetData>
  <phoneticPr fontId="2" type="noConversion"/>
  <dataValidations count="1">
    <dataValidation type="list" allowBlank="1" showInputMessage="1" showErrorMessage="1" sqref="G2:H16" xr:uid="{4A1E5ABB-1A0F-4A73-8658-7CEA92D66B18}">
      <formula1>#REF!</formula1>
    </dataValidation>
  </dataValidations>
  <pageMargins left="0.7" right="0.7" top="0.75" bottom="0.75" header="0.3" footer="0.3"/>
  <pageSetup orientation="portrait"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05C126-434C-482D-A06F-9B00E9B5C19F}">
  <dimension ref="A1:H106"/>
  <sheetViews>
    <sheetView zoomScaleNormal="100" zoomScaleSheetLayoutView="100" workbookViewId="0">
      <selection activeCell="D6" sqref="D6"/>
    </sheetView>
  </sheetViews>
  <sheetFormatPr baseColWidth="10" defaultRowHeight="14.5" x14ac:dyDescent="0.35"/>
  <cols>
    <col min="1" max="1" width="10" bestFit="1" customWidth="1"/>
    <col min="2" max="2" width="9.6328125" bestFit="1" customWidth="1"/>
    <col min="4" max="4" width="10.81640625" bestFit="1" customWidth="1"/>
    <col min="5" max="5" width="7.6328125" bestFit="1" customWidth="1"/>
    <col min="6" max="6" width="11.08984375" bestFit="1" customWidth="1"/>
    <col min="7" max="7" width="13.1796875" bestFit="1" customWidth="1"/>
    <col min="8" max="8" width="11.81640625" bestFit="1" customWidth="1"/>
  </cols>
  <sheetData>
    <row r="1" spans="1:8" x14ac:dyDescent="0.35">
      <c r="A1" s="1" t="s">
        <v>84</v>
      </c>
      <c r="B1" s="1" t="s">
        <v>83</v>
      </c>
      <c r="D1" t="s">
        <v>67</v>
      </c>
      <c r="E1" t="s">
        <v>79</v>
      </c>
      <c r="F1" t="s">
        <v>69</v>
      </c>
      <c r="G1" t="s">
        <v>45</v>
      </c>
      <c r="H1" t="s">
        <v>2</v>
      </c>
    </row>
    <row r="2" spans="1:8" x14ac:dyDescent="0.35">
      <c r="A2" s="2" t="s">
        <v>6</v>
      </c>
      <c r="B2" s="2" t="s">
        <v>20</v>
      </c>
      <c r="D2" t="s">
        <v>76</v>
      </c>
      <c r="E2" t="s">
        <v>80</v>
      </c>
      <c r="F2" t="s">
        <v>76</v>
      </c>
      <c r="G2" t="s">
        <v>70</v>
      </c>
      <c r="H2" t="s">
        <v>3</v>
      </c>
    </row>
    <row r="3" spans="1:8" x14ac:dyDescent="0.35">
      <c r="A3" s="2" t="s">
        <v>7</v>
      </c>
      <c r="B3" s="2" t="s">
        <v>35</v>
      </c>
      <c r="D3" t="s">
        <v>77</v>
      </c>
      <c r="E3" t="s">
        <v>81</v>
      </c>
      <c r="F3" t="s">
        <v>77</v>
      </c>
      <c r="G3" t="s">
        <v>73</v>
      </c>
      <c r="H3" t="s">
        <v>74</v>
      </c>
    </row>
    <row r="4" spans="1:8" x14ac:dyDescent="0.35">
      <c r="A4" s="2" t="s">
        <v>7</v>
      </c>
      <c r="B4" s="2" t="s">
        <v>28</v>
      </c>
      <c r="D4" t="s">
        <v>78</v>
      </c>
      <c r="E4" t="s">
        <v>82</v>
      </c>
      <c r="F4" t="s">
        <v>78</v>
      </c>
      <c r="G4" t="s">
        <v>72</v>
      </c>
      <c r="H4" t="s">
        <v>5</v>
      </c>
    </row>
    <row r="5" spans="1:8" x14ac:dyDescent="0.35">
      <c r="A5" s="2" t="s">
        <v>7</v>
      </c>
      <c r="B5" s="2" t="s">
        <v>30</v>
      </c>
      <c r="D5" t="s">
        <v>85</v>
      </c>
      <c r="E5" t="s">
        <v>85</v>
      </c>
      <c r="F5" t="s">
        <v>85</v>
      </c>
      <c r="G5" t="s">
        <v>71</v>
      </c>
      <c r="H5" t="s">
        <v>75</v>
      </c>
    </row>
    <row r="6" spans="1:8" x14ac:dyDescent="0.35">
      <c r="A6" s="2" t="s">
        <v>7</v>
      </c>
      <c r="B6" s="2" t="s">
        <v>59</v>
      </c>
    </row>
    <row r="7" spans="1:8" x14ac:dyDescent="0.35">
      <c r="A7" s="2" t="s">
        <v>7</v>
      </c>
      <c r="B7" s="2" t="s">
        <v>25</v>
      </c>
    </row>
    <row r="8" spans="1:8" x14ac:dyDescent="0.35">
      <c r="A8" s="2" t="s">
        <v>8</v>
      </c>
      <c r="B8" s="2" t="s">
        <v>21</v>
      </c>
    </row>
    <row r="9" spans="1:8" x14ac:dyDescent="0.35">
      <c r="A9" s="2" t="s">
        <v>8</v>
      </c>
      <c r="B9" s="2" t="s">
        <v>26</v>
      </c>
    </row>
    <row r="10" spans="1:8" x14ac:dyDescent="0.35">
      <c r="A10" s="2" t="s">
        <v>9</v>
      </c>
      <c r="B10" s="2" t="s">
        <v>20</v>
      </c>
    </row>
    <row r="11" spans="1:8" x14ac:dyDescent="0.35">
      <c r="A11" s="2" t="s">
        <v>9</v>
      </c>
      <c r="B11" s="2" t="s">
        <v>23</v>
      </c>
    </row>
    <row r="12" spans="1:8" x14ac:dyDescent="0.35">
      <c r="A12" s="2" t="s">
        <v>9</v>
      </c>
      <c r="B12" s="2" t="s">
        <v>24</v>
      </c>
    </row>
    <row r="13" spans="1:8" x14ac:dyDescent="0.35">
      <c r="A13" s="2" t="s">
        <v>10</v>
      </c>
      <c r="B13" s="2" t="s">
        <v>22</v>
      </c>
    </row>
    <row r="14" spans="1:8" x14ac:dyDescent="0.35">
      <c r="A14" s="2" t="s">
        <v>11</v>
      </c>
      <c r="B14" s="2" t="s">
        <v>23</v>
      </c>
    </row>
    <row r="15" spans="1:8" x14ac:dyDescent="0.35">
      <c r="A15" s="2" t="s">
        <v>11</v>
      </c>
      <c r="B15" s="2" t="s">
        <v>26</v>
      </c>
    </row>
    <row r="16" spans="1:8" x14ac:dyDescent="0.35">
      <c r="A16" s="2" t="s">
        <v>12</v>
      </c>
      <c r="B16" s="2" t="s">
        <v>32</v>
      </c>
    </row>
    <row r="17" spans="1:2" x14ac:dyDescent="0.35">
      <c r="A17" s="2" t="s">
        <v>13</v>
      </c>
      <c r="B17" s="2" t="s">
        <v>32</v>
      </c>
    </row>
    <row r="18" spans="1:2" x14ac:dyDescent="0.35">
      <c r="A18" s="2" t="s">
        <v>14</v>
      </c>
      <c r="B18" s="2" t="s">
        <v>31</v>
      </c>
    </row>
    <row r="19" spans="1:2" x14ac:dyDescent="0.35">
      <c r="A19" s="2" t="s">
        <v>14</v>
      </c>
      <c r="B19" s="2" t="s">
        <v>30</v>
      </c>
    </row>
    <row r="20" spans="1:2" x14ac:dyDescent="0.35">
      <c r="A20" s="2" t="s">
        <v>14</v>
      </c>
      <c r="B20" s="2" t="s">
        <v>20</v>
      </c>
    </row>
    <row r="21" spans="1:2" x14ac:dyDescent="0.35">
      <c r="A21" s="2" t="s">
        <v>15</v>
      </c>
      <c r="B21" s="2" t="s">
        <v>28</v>
      </c>
    </row>
    <row r="22" spans="1:2" x14ac:dyDescent="0.35">
      <c r="A22" s="2" t="s">
        <v>15</v>
      </c>
      <c r="B22" s="2" t="s">
        <v>30</v>
      </c>
    </row>
    <row r="23" spans="1:2" x14ac:dyDescent="0.35">
      <c r="A23" s="2" t="s">
        <v>16</v>
      </c>
      <c r="B23" s="2" t="s">
        <v>33</v>
      </c>
    </row>
    <row r="24" spans="1:2" x14ac:dyDescent="0.35">
      <c r="A24" s="2" t="s">
        <v>17</v>
      </c>
      <c r="B24" s="2" t="s">
        <v>30</v>
      </c>
    </row>
    <row r="25" spans="1:2" x14ac:dyDescent="0.35">
      <c r="A25" s="2" t="s">
        <v>17</v>
      </c>
      <c r="B25" s="2" t="s">
        <v>32</v>
      </c>
    </row>
    <row r="26" spans="1:2" x14ac:dyDescent="0.35">
      <c r="A26" s="2"/>
      <c r="B26" s="2"/>
    </row>
    <row r="27" spans="1:2" x14ac:dyDescent="0.35">
      <c r="A27" s="2"/>
      <c r="B27" s="2"/>
    </row>
    <row r="28" spans="1:2" x14ac:dyDescent="0.35">
      <c r="A28" s="2"/>
      <c r="B28" s="2"/>
    </row>
    <row r="29" spans="1:2" x14ac:dyDescent="0.35">
      <c r="A29" s="2"/>
      <c r="B29" s="2"/>
    </row>
    <row r="30" spans="1:2" x14ac:dyDescent="0.35">
      <c r="A30" s="2"/>
      <c r="B30" s="2"/>
    </row>
    <row r="31" spans="1:2" x14ac:dyDescent="0.35">
      <c r="A31" s="2"/>
      <c r="B31" s="2"/>
    </row>
    <row r="32" spans="1:2" x14ac:dyDescent="0.35">
      <c r="A32" s="2"/>
      <c r="B32" s="2"/>
    </row>
    <row r="33" spans="1:2" x14ac:dyDescent="0.35">
      <c r="A33" s="2"/>
      <c r="B33" s="2"/>
    </row>
    <row r="34" spans="1:2" x14ac:dyDescent="0.35">
      <c r="A34" s="2"/>
      <c r="B34" s="2"/>
    </row>
    <row r="35" spans="1:2" x14ac:dyDescent="0.35">
      <c r="A35" s="2"/>
      <c r="B35" s="2"/>
    </row>
    <row r="36" spans="1:2" x14ac:dyDescent="0.35">
      <c r="A36" s="2"/>
      <c r="B36" s="2"/>
    </row>
    <row r="37" spans="1:2" x14ac:dyDescent="0.35">
      <c r="A37" s="2"/>
      <c r="B37" s="2"/>
    </row>
    <row r="38" spans="1:2" x14ac:dyDescent="0.35">
      <c r="A38" s="2"/>
      <c r="B38" s="2"/>
    </row>
    <row r="39" spans="1:2" x14ac:dyDescent="0.35">
      <c r="A39" s="2"/>
      <c r="B39" s="2"/>
    </row>
    <row r="40" spans="1:2" x14ac:dyDescent="0.35">
      <c r="A40" s="2"/>
      <c r="B40" s="2"/>
    </row>
    <row r="41" spans="1:2" x14ac:dyDescent="0.35">
      <c r="A41" s="2"/>
      <c r="B41" s="2"/>
    </row>
    <row r="42" spans="1:2" x14ac:dyDescent="0.35">
      <c r="A42" s="2"/>
      <c r="B42" s="2"/>
    </row>
    <row r="43" spans="1:2" x14ac:dyDescent="0.35">
      <c r="A43" s="2"/>
      <c r="B43" s="2"/>
    </row>
    <row r="44" spans="1:2" x14ac:dyDescent="0.35">
      <c r="A44" s="2"/>
      <c r="B44" s="2"/>
    </row>
    <row r="45" spans="1:2" x14ac:dyDescent="0.35">
      <c r="A45" s="2"/>
      <c r="B45" s="2"/>
    </row>
    <row r="46" spans="1:2" x14ac:dyDescent="0.35">
      <c r="A46" s="2"/>
      <c r="B46" s="2"/>
    </row>
    <row r="47" spans="1:2" x14ac:dyDescent="0.35">
      <c r="A47" s="2"/>
      <c r="B47" s="2"/>
    </row>
    <row r="48" spans="1:2" x14ac:dyDescent="0.35">
      <c r="A48" s="2"/>
      <c r="B48" s="2"/>
    </row>
    <row r="49" spans="1:2" x14ac:dyDescent="0.35">
      <c r="A49" s="2"/>
      <c r="B49" s="2"/>
    </row>
    <row r="50" spans="1:2" x14ac:dyDescent="0.35">
      <c r="A50" s="2"/>
      <c r="B50" s="2"/>
    </row>
    <row r="51" spans="1:2" x14ac:dyDescent="0.35">
      <c r="A51" s="2"/>
      <c r="B51" s="2"/>
    </row>
    <row r="52" spans="1:2" x14ac:dyDescent="0.35">
      <c r="A52" s="2"/>
      <c r="B52" s="2"/>
    </row>
    <row r="53" spans="1:2" x14ac:dyDescent="0.35">
      <c r="A53" s="2"/>
      <c r="B53" s="2"/>
    </row>
    <row r="54" spans="1:2" x14ac:dyDescent="0.35">
      <c r="A54" s="2"/>
      <c r="B54" s="2"/>
    </row>
    <row r="55" spans="1:2" x14ac:dyDescent="0.35">
      <c r="A55" s="2"/>
      <c r="B55" s="2"/>
    </row>
    <row r="56" spans="1:2" x14ac:dyDescent="0.35">
      <c r="A56" s="2"/>
      <c r="B56" s="2"/>
    </row>
    <row r="57" spans="1:2" x14ac:dyDescent="0.35">
      <c r="A57" s="2"/>
      <c r="B57" s="2"/>
    </row>
    <row r="58" spans="1:2" x14ac:dyDescent="0.35">
      <c r="A58" s="2"/>
      <c r="B58" s="2"/>
    </row>
    <row r="59" spans="1:2" x14ac:dyDescent="0.35">
      <c r="A59" s="2"/>
      <c r="B59" s="2"/>
    </row>
    <row r="60" spans="1:2" x14ac:dyDescent="0.35">
      <c r="A60" s="2"/>
      <c r="B60" s="2"/>
    </row>
    <row r="61" spans="1:2" x14ac:dyDescent="0.35">
      <c r="A61" s="2"/>
      <c r="B61" s="2"/>
    </row>
    <row r="62" spans="1:2" x14ac:dyDescent="0.35">
      <c r="A62" s="2"/>
      <c r="B62" s="2"/>
    </row>
    <row r="63" spans="1:2" x14ac:dyDescent="0.35">
      <c r="A63" s="2"/>
      <c r="B63" s="2"/>
    </row>
    <row r="64" spans="1:2" x14ac:dyDescent="0.35">
      <c r="A64" s="2"/>
      <c r="B64" s="2"/>
    </row>
    <row r="65" spans="1:2" x14ac:dyDescent="0.35">
      <c r="A65" s="2"/>
      <c r="B65" s="2"/>
    </row>
    <row r="66" spans="1:2" x14ac:dyDescent="0.35">
      <c r="A66" s="2"/>
      <c r="B66" s="2"/>
    </row>
    <row r="67" spans="1:2" x14ac:dyDescent="0.35">
      <c r="A67" s="2"/>
      <c r="B67" s="2"/>
    </row>
    <row r="68" spans="1:2" x14ac:dyDescent="0.35">
      <c r="A68" s="2"/>
      <c r="B68" s="2"/>
    </row>
    <row r="69" spans="1:2" x14ac:dyDescent="0.35">
      <c r="A69" s="2"/>
      <c r="B69" s="2"/>
    </row>
    <row r="70" spans="1:2" x14ac:dyDescent="0.35">
      <c r="A70" s="2"/>
      <c r="B70" s="2"/>
    </row>
    <row r="71" spans="1:2" x14ac:dyDescent="0.35">
      <c r="A71" s="2"/>
      <c r="B71" s="2"/>
    </row>
    <row r="72" spans="1:2" x14ac:dyDescent="0.35">
      <c r="A72" s="2"/>
      <c r="B72" s="2"/>
    </row>
    <row r="73" spans="1:2" x14ac:dyDescent="0.35">
      <c r="A73" s="2"/>
      <c r="B73" s="2"/>
    </row>
    <row r="74" spans="1:2" x14ac:dyDescent="0.35">
      <c r="A74" s="2"/>
      <c r="B74" s="2"/>
    </row>
    <row r="75" spans="1:2" x14ac:dyDescent="0.35">
      <c r="A75" s="2"/>
      <c r="B75" s="2"/>
    </row>
    <row r="76" spans="1:2" x14ac:dyDescent="0.35">
      <c r="A76" s="2"/>
      <c r="B76" s="2"/>
    </row>
    <row r="77" spans="1:2" x14ac:dyDescent="0.35">
      <c r="A77" s="2"/>
      <c r="B77" s="2"/>
    </row>
    <row r="78" spans="1:2" x14ac:dyDescent="0.35">
      <c r="A78" s="2"/>
      <c r="B78" s="2"/>
    </row>
    <row r="79" spans="1:2" x14ac:dyDescent="0.35">
      <c r="A79" s="2"/>
      <c r="B79" s="2"/>
    </row>
    <row r="80" spans="1:2" x14ac:dyDescent="0.35">
      <c r="A80" s="2"/>
      <c r="B80" s="2"/>
    </row>
    <row r="81" spans="1:2" x14ac:dyDescent="0.35">
      <c r="A81" s="2"/>
      <c r="B81" s="2"/>
    </row>
    <row r="82" spans="1:2" x14ac:dyDescent="0.35">
      <c r="A82" s="2"/>
      <c r="B82" s="2"/>
    </row>
    <row r="83" spans="1:2" x14ac:dyDescent="0.35">
      <c r="A83" s="2"/>
      <c r="B83" s="2"/>
    </row>
    <row r="84" spans="1:2" x14ac:dyDescent="0.35">
      <c r="A84" s="2"/>
      <c r="B84" s="2"/>
    </row>
    <row r="85" spans="1:2" x14ac:dyDescent="0.35">
      <c r="A85" s="2"/>
      <c r="B85" s="2"/>
    </row>
    <row r="86" spans="1:2" x14ac:dyDescent="0.35">
      <c r="A86" s="2"/>
      <c r="B86" s="2"/>
    </row>
    <row r="87" spans="1:2" x14ac:dyDescent="0.35">
      <c r="A87" s="2"/>
      <c r="B87" s="2"/>
    </row>
    <row r="88" spans="1:2" x14ac:dyDescent="0.35">
      <c r="A88" s="2"/>
      <c r="B88" s="2"/>
    </row>
    <row r="89" spans="1:2" x14ac:dyDescent="0.35">
      <c r="A89" s="2"/>
      <c r="B89" s="2"/>
    </row>
    <row r="90" spans="1:2" x14ac:dyDescent="0.35">
      <c r="A90" s="2"/>
      <c r="B90" s="2"/>
    </row>
    <row r="91" spans="1:2" x14ac:dyDescent="0.35">
      <c r="A91" s="2"/>
      <c r="B91" s="2"/>
    </row>
    <row r="92" spans="1:2" x14ac:dyDescent="0.35">
      <c r="A92" s="2"/>
      <c r="B92" s="2"/>
    </row>
    <row r="93" spans="1:2" x14ac:dyDescent="0.35">
      <c r="A93" s="2"/>
      <c r="B93" s="2"/>
    </row>
    <row r="94" spans="1:2" x14ac:dyDescent="0.35">
      <c r="A94" s="2"/>
      <c r="B94" s="2"/>
    </row>
    <row r="95" spans="1:2" x14ac:dyDescent="0.35">
      <c r="A95" s="2"/>
      <c r="B95" s="2"/>
    </row>
    <row r="96" spans="1:2" x14ac:dyDescent="0.35">
      <c r="A96" s="2"/>
      <c r="B96" s="2"/>
    </row>
    <row r="97" spans="1:2" x14ac:dyDescent="0.35">
      <c r="A97" s="2"/>
      <c r="B97" s="2"/>
    </row>
    <row r="98" spans="1:2" x14ac:dyDescent="0.35">
      <c r="A98" s="2"/>
      <c r="B98" s="2"/>
    </row>
    <row r="99" spans="1:2" x14ac:dyDescent="0.35">
      <c r="A99" s="2"/>
      <c r="B99" s="2"/>
    </row>
    <row r="100" spans="1:2" x14ac:dyDescent="0.35">
      <c r="A100" s="2"/>
      <c r="B100" s="2"/>
    </row>
    <row r="101" spans="1:2" x14ac:dyDescent="0.35">
      <c r="A101" s="2"/>
      <c r="B101" s="2"/>
    </row>
    <row r="102" spans="1:2" x14ac:dyDescent="0.35">
      <c r="A102" s="2"/>
      <c r="B102" s="2"/>
    </row>
    <row r="103" spans="1:2" x14ac:dyDescent="0.35">
      <c r="A103" s="2"/>
      <c r="B103" s="2"/>
    </row>
    <row r="104" spans="1:2" x14ac:dyDescent="0.35">
      <c r="A104" s="2"/>
      <c r="B104" s="2"/>
    </row>
    <row r="105" spans="1:2" x14ac:dyDescent="0.35">
      <c r="A105" s="2"/>
      <c r="B105" s="2"/>
    </row>
    <row r="106" spans="1:2" x14ac:dyDescent="0.35">
      <c r="A106" s="2"/>
      <c r="B106" s="2"/>
    </row>
  </sheetData>
  <phoneticPr fontId="2" type="noConversion"/>
  <pageMargins left="0.7" right="0.7" top="0.75" bottom="0.75" header="0.3" footer="0.3"/>
  <pageSetup orientation="portrait" r:id="rId1"/>
  <tableParts count="2">
    <tablePart r:id="rId2"/>
    <tablePart r:id="rId3"/>
  </tableParts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EC748476-31BA-4003-B0E6-55612441B82C}">
          <x14:formula1>
            <xm:f>UR!$A$2:$A$13</xm:f>
          </x14:formula1>
          <xm:sqref>A2:A33</xm:sqref>
        </x14:dataValidation>
        <x14:dataValidation type="list" allowBlank="1" showInputMessage="1" showErrorMessage="1" xr:uid="{CD97B30F-C543-4AFF-B80E-A362D732C117}">
          <x14:formula1>
            <xm:f>SR!$A$2:$A$15</xm:f>
          </x14:formula1>
          <xm:sqref>B26:B33</xm:sqref>
        </x14:dataValidation>
        <x14:dataValidation type="list" allowBlank="1" showInputMessage="1" showErrorMessage="1" xr:uid="{4E2C34E7-91D9-4C0F-8793-EB4D40C9D290}">
          <x14:formula1>
            <xm:f>SR!$A$2:$A$16</xm:f>
          </x14:formula1>
          <xm:sqref>B2:B25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80FAC4-A8BF-4044-997F-D2D58A77CB61}">
  <dimension ref="A1:W32"/>
  <sheetViews>
    <sheetView zoomScaleNormal="100" zoomScaleSheetLayoutView="100" workbookViewId="0">
      <pane xSplit="1" ySplit="1" topLeftCell="B2" activePane="bottomRight" state="frozen"/>
      <selection pane="topRight" activeCell="B1" sqref="B1"/>
      <selection pane="bottomLeft" activeCell="A2" sqref="A2"/>
      <selection pane="bottomRight" activeCell="Q15" sqref="Q15"/>
    </sheetView>
  </sheetViews>
  <sheetFormatPr baseColWidth="10" defaultRowHeight="14.5" x14ac:dyDescent="0.35"/>
  <cols>
    <col min="1" max="1" width="5.81640625" bestFit="1" customWidth="1"/>
    <col min="2" max="16" width="3.36328125" bestFit="1" customWidth="1"/>
    <col min="17" max="17" width="10.54296875" bestFit="1" customWidth="1"/>
    <col min="18" max="20" width="3.36328125" bestFit="1" customWidth="1"/>
    <col min="21" max="21" width="3.36328125" customWidth="1"/>
    <col min="22" max="22" width="10.90625" customWidth="1"/>
    <col min="23" max="23" width="95.7265625" bestFit="1" customWidth="1"/>
    <col min="98" max="98" width="3.36328125" bestFit="1" customWidth="1"/>
    <col min="101" max="102" width="3.36328125" bestFit="1" customWidth="1"/>
  </cols>
  <sheetData>
    <row r="1" spans="1:23" s="3" customFormat="1" ht="30" x14ac:dyDescent="0.35">
      <c r="A1" s="10"/>
      <c r="B1" s="5" t="str" cm="1">
        <f t="array" ref="B1:P1">TRANSPOSE(Tabla_SR[ID])</f>
        <v>SR-01</v>
      </c>
      <c r="C1" s="5" t="str">
        <v>SR-02</v>
      </c>
      <c r="D1" s="5" t="str">
        <v>SR-03</v>
      </c>
      <c r="E1" s="5" t="str">
        <v>SR-04</v>
      </c>
      <c r="F1" s="5" t="str">
        <v>SR-05</v>
      </c>
      <c r="G1" s="5" t="str">
        <v>SR-06</v>
      </c>
      <c r="H1" s="5" t="str">
        <v>SR-07</v>
      </c>
      <c r="I1" s="5" t="str">
        <v>SR-08</v>
      </c>
      <c r="J1" s="5" t="str">
        <v>SR-09</v>
      </c>
      <c r="K1" s="5" t="str">
        <v>SR-10</v>
      </c>
      <c r="L1" s="5" t="str">
        <v>SR-11</v>
      </c>
      <c r="M1" s="5" t="str">
        <v>SR-12</v>
      </c>
      <c r="N1" s="5" t="str">
        <v>SR-13</v>
      </c>
      <c r="O1" s="5" t="str">
        <v>SR-14</v>
      </c>
      <c r="P1" s="9" t="str">
        <v>SR-15</v>
      </c>
      <c r="Q1" t="s">
        <v>64</v>
      </c>
    </row>
    <row r="2" spans="1:23" x14ac:dyDescent="0.35">
      <c r="A2" s="6" t="str" cm="1">
        <f t="array" ref="A2:A13">Tabla_UR[ID]</f>
        <v>UR-01</v>
      </c>
      <c r="B2" s="4" t="str">
        <f>IF(COUNTIFS(TRAZABILIDAD!$A:$A,$A2,TRAZABILIDAD!$B:$B,B$1)&gt;0,"X","")</f>
        <v>X</v>
      </c>
      <c r="C2" s="4" t="str">
        <f>IF(COUNTIFS(TRAZABILIDAD!$A:$A,$A2,TRAZABILIDAD!$B:$B,C$1)&gt;0,"X","")</f>
        <v/>
      </c>
      <c r="D2" s="4" t="str">
        <f>IF(COUNTIFS(TRAZABILIDAD!$A:$A,$A2,TRAZABILIDAD!$B:$B,D$1)&gt;0,"X","")</f>
        <v/>
      </c>
      <c r="E2" s="4" t="str">
        <f>IF(COUNTIFS(TRAZABILIDAD!$A:$A,$A2,TRAZABILIDAD!$B:$B,E$1)&gt;0,"X","")</f>
        <v/>
      </c>
      <c r="F2" s="4" t="str">
        <f>IF(COUNTIFS(TRAZABILIDAD!$A:$A,$A2,TRAZABILIDAD!$B:$B,F$1)&gt;0,"X","")</f>
        <v/>
      </c>
      <c r="G2" s="4" t="str">
        <f>IF(COUNTIFS(TRAZABILIDAD!$A:$A,$A2,TRAZABILIDAD!$B:$B,G$1)&gt;0,"X","")</f>
        <v/>
      </c>
      <c r="H2" s="4" t="str">
        <f>IF(COUNTIFS(TRAZABILIDAD!$A:$A,$A2,TRAZABILIDAD!$B:$B,H$1)&gt;0,"X","")</f>
        <v/>
      </c>
      <c r="I2" s="4" t="str">
        <f>IF(COUNTIFS(TRAZABILIDAD!$A:$A,$A2,TRAZABILIDAD!$B:$B,I$1)&gt;0,"X","")</f>
        <v/>
      </c>
      <c r="J2" s="4" t="str">
        <f>IF(COUNTIFS(TRAZABILIDAD!$A:$A,$A2,TRAZABILIDAD!$B:$B,J$1)&gt;0,"X","")</f>
        <v/>
      </c>
      <c r="K2" s="4" t="str">
        <f>IF(COUNTIFS(TRAZABILIDAD!$A:$A,$A2,TRAZABILIDAD!$B:$B,K$1)&gt;0,"X","")</f>
        <v/>
      </c>
      <c r="L2" s="4" t="str">
        <f>IF(COUNTIFS(TRAZABILIDAD!$A:$A,$A2,TRAZABILIDAD!$B:$B,L$1)&gt;0,"X","")</f>
        <v/>
      </c>
      <c r="M2" s="4" t="str">
        <f>IF(COUNTIFS(TRAZABILIDAD!$A:$A,$A2,TRAZABILIDAD!$B:$B,M$1)&gt;0,"X","")</f>
        <v/>
      </c>
      <c r="N2" s="4" t="str">
        <f>IF(COUNTIFS(TRAZABILIDAD!$A:$A,$A2,TRAZABILIDAD!$B:$B,N$1)&gt;0,"X","")</f>
        <v/>
      </c>
      <c r="O2" s="4" t="str">
        <f>IF(COUNTIFS(TRAZABILIDAD!$A:$A,$A2,TRAZABILIDAD!$B:$B,O$1)&gt;0,"X","")</f>
        <v/>
      </c>
      <c r="P2" s="4" t="str">
        <f>IF(COUNTIFS(TRAZABILIDAD!$A:$A,$A2,TRAZABILIDAD!$B:$B,P$1)&gt;0,"X","")</f>
        <v/>
      </c>
      <c r="Q2" t="str">
        <f>IF(COUNTIF(B2:P2,"X")=0,"No cubierto","Cubierto")</f>
        <v>Cubierto</v>
      </c>
      <c r="R2" s="3"/>
      <c r="S2" s="3"/>
      <c r="T2" s="3"/>
      <c r="U2" s="3"/>
      <c r="V2" t="str" cm="1">
        <f t="array" ref="V2:V13">Tabla_UR[ID]</f>
        <v>UR-01</v>
      </c>
      <c r="W2" t="str" cm="1">
        <f t="array" ref="W2:W13">Tabla_UR[Descripción del Requerimiento]</f>
        <v>El sistema debe proveer un servicio Store &amp; Forward satelital para transmisión de datos.</v>
      </c>
    </row>
    <row r="3" spans="1:23" x14ac:dyDescent="0.35">
      <c r="A3" s="6" t="str">
        <v>UR-02</v>
      </c>
      <c r="B3" s="4" t="str">
        <f>IF(COUNTIFS(TRAZABILIDAD!$A:$A,$A3,TRAZABILIDAD!$B:$B,B$1)&gt;0,"X","")</f>
        <v/>
      </c>
      <c r="C3" s="4" t="str">
        <f>IF(COUNTIFS(TRAZABILIDAD!$A:$A,$A3,TRAZABILIDAD!$B:$B,C$1)&gt;0,"X","")</f>
        <v/>
      </c>
      <c r="D3" s="4" t="str">
        <f>IF(COUNTIFS(TRAZABILIDAD!$A:$A,$A3,TRAZABILIDAD!$B:$B,D$1)&gt;0,"X","")</f>
        <v/>
      </c>
      <c r="E3" s="4" t="str">
        <f>IF(COUNTIFS(TRAZABILIDAD!$A:$A,$A3,TRAZABILIDAD!$B:$B,E$1)&gt;0,"X","")</f>
        <v/>
      </c>
      <c r="F3" s="4" t="str">
        <f>IF(COUNTIFS(TRAZABILIDAD!$A:$A,$A3,TRAZABILIDAD!$B:$B,F$1)&gt;0,"X","")</f>
        <v/>
      </c>
      <c r="G3" s="4" t="str">
        <f>IF(COUNTIFS(TRAZABILIDAD!$A:$A,$A3,TRAZABILIDAD!$B:$B,G$1)&gt;0,"X","")</f>
        <v>X</v>
      </c>
      <c r="H3" s="4" t="str">
        <f>IF(COUNTIFS(TRAZABILIDAD!$A:$A,$A3,TRAZABILIDAD!$B:$B,H$1)&gt;0,"X","")</f>
        <v/>
      </c>
      <c r="I3" s="4" t="str">
        <f>IF(COUNTIFS(TRAZABILIDAD!$A:$A,$A3,TRAZABILIDAD!$B:$B,I$1)&gt;0,"X","")</f>
        <v>X</v>
      </c>
      <c r="J3" s="4" t="str">
        <f>IF(COUNTIFS(TRAZABILIDAD!$A:$A,$A3,TRAZABILIDAD!$B:$B,J$1)&gt;0,"X","")</f>
        <v/>
      </c>
      <c r="K3" s="4" t="str">
        <f>IF(COUNTIFS(TRAZABILIDAD!$A:$A,$A3,TRAZABILIDAD!$B:$B,K$1)&gt;0,"X","")</f>
        <v>X</v>
      </c>
      <c r="L3" s="4" t="str">
        <f>IF(COUNTIFS(TRAZABILIDAD!$A:$A,$A3,TRAZABILIDAD!$B:$B,L$1)&gt;0,"X","")</f>
        <v/>
      </c>
      <c r="M3" s="4" t="str">
        <f>IF(COUNTIFS(TRAZABILIDAD!$A:$A,$A3,TRAZABILIDAD!$B:$B,M$1)&gt;0,"X","")</f>
        <v/>
      </c>
      <c r="N3" s="4" t="str">
        <f>IF(COUNTIFS(TRAZABILIDAD!$A:$A,$A3,TRAZABILIDAD!$B:$B,N$1)&gt;0,"X","")</f>
        <v/>
      </c>
      <c r="O3" s="4" t="str">
        <f>IF(COUNTIFS(TRAZABILIDAD!$A:$A,$A3,TRAZABILIDAD!$B:$B,O$1)&gt;0,"X","")</f>
        <v>X</v>
      </c>
      <c r="P3" s="4" t="str">
        <f>IF(COUNTIFS(TRAZABILIDAD!$A:$A,$A3,TRAZABILIDAD!$B:$B,P$1)&gt;0,"X","")</f>
        <v>X</v>
      </c>
      <c r="Q3" t="str">
        <f t="shared" ref="Q3:Q13" si="0">IF(COUNTIF(B3:P3,"X")=0,"No cubierto","Cubierto")</f>
        <v>Cubierto</v>
      </c>
      <c r="R3" s="3"/>
      <c r="S3" s="3"/>
      <c r="T3" s="3"/>
      <c r="U3" s="3"/>
      <c r="V3" t="str">
        <v>UR-02</v>
      </c>
      <c r="W3" t="str">
        <v>El sistema debe integrarse de forma genérica en un satélite CubeSat clase 12U en órbita LEO.</v>
      </c>
    </row>
    <row r="4" spans="1:23" x14ac:dyDescent="0.35">
      <c r="A4" s="6" t="str">
        <v>UR-03</v>
      </c>
      <c r="B4" s="4" t="str">
        <f>IF(COUNTIFS(TRAZABILIDAD!$A:$A,$A4,TRAZABILIDAD!$B:$B,B$1)&gt;0,"X","")</f>
        <v/>
      </c>
      <c r="C4" s="4" t="str">
        <f>IF(COUNTIFS(TRAZABILIDAD!$A:$A,$A4,TRAZABILIDAD!$B:$B,C$1)&gt;0,"X","")</f>
        <v>X</v>
      </c>
      <c r="D4" s="4" t="str">
        <f>IF(COUNTIFS(TRAZABILIDAD!$A:$A,$A4,TRAZABILIDAD!$B:$B,D$1)&gt;0,"X","")</f>
        <v/>
      </c>
      <c r="E4" s="4" t="str">
        <f>IF(COUNTIFS(TRAZABILIDAD!$A:$A,$A4,TRAZABILIDAD!$B:$B,E$1)&gt;0,"X","")</f>
        <v/>
      </c>
      <c r="F4" s="4" t="str">
        <f>IF(COUNTIFS(TRAZABILIDAD!$A:$A,$A4,TRAZABILIDAD!$B:$B,F$1)&gt;0,"X","")</f>
        <v/>
      </c>
      <c r="G4" s="4" t="str">
        <f>IF(COUNTIFS(TRAZABILIDAD!$A:$A,$A4,TRAZABILIDAD!$B:$B,G$1)&gt;0,"X","")</f>
        <v/>
      </c>
      <c r="H4" s="4" t="str">
        <f>IF(COUNTIFS(TRAZABILIDAD!$A:$A,$A4,TRAZABILIDAD!$B:$B,H$1)&gt;0,"X","")</f>
        <v>X</v>
      </c>
      <c r="I4" s="4" t="str">
        <f>IF(COUNTIFS(TRAZABILIDAD!$A:$A,$A4,TRAZABILIDAD!$B:$B,I$1)&gt;0,"X","")</f>
        <v/>
      </c>
      <c r="J4" s="4" t="str">
        <f>IF(COUNTIFS(TRAZABILIDAD!$A:$A,$A4,TRAZABILIDAD!$B:$B,J$1)&gt;0,"X","")</f>
        <v/>
      </c>
      <c r="K4" s="4" t="str">
        <f>IF(COUNTIFS(TRAZABILIDAD!$A:$A,$A4,TRAZABILIDAD!$B:$B,K$1)&gt;0,"X","")</f>
        <v/>
      </c>
      <c r="L4" s="4" t="str">
        <f>IF(COUNTIFS(TRAZABILIDAD!$A:$A,$A4,TRAZABILIDAD!$B:$B,L$1)&gt;0,"X","")</f>
        <v/>
      </c>
      <c r="M4" s="4" t="str">
        <f>IF(COUNTIFS(TRAZABILIDAD!$A:$A,$A4,TRAZABILIDAD!$B:$B,M$1)&gt;0,"X","")</f>
        <v/>
      </c>
      <c r="N4" s="4" t="str">
        <f>IF(COUNTIFS(TRAZABILIDAD!$A:$A,$A4,TRAZABILIDAD!$B:$B,N$1)&gt;0,"X","")</f>
        <v/>
      </c>
      <c r="O4" s="4" t="str">
        <f>IF(COUNTIFS(TRAZABILIDAD!$A:$A,$A4,TRAZABILIDAD!$B:$B,O$1)&gt;0,"X","")</f>
        <v/>
      </c>
      <c r="P4" s="4" t="str">
        <f>IF(COUNTIFS(TRAZABILIDAD!$A:$A,$A4,TRAZABILIDAD!$B:$B,P$1)&gt;0,"X","")</f>
        <v/>
      </c>
      <c r="Q4" t="str">
        <f t="shared" si="0"/>
        <v>Cubierto</v>
      </c>
      <c r="R4" s="3"/>
      <c r="S4" s="3"/>
      <c r="T4" s="3"/>
      <c r="U4" s="3"/>
      <c r="V4" t="str">
        <v>UR-03</v>
      </c>
      <c r="W4" t="str">
        <v>El sistema debe cubrir el territorio chileno continental, zonas extremas, territorio insular y territorio antártico.</v>
      </c>
    </row>
    <row r="5" spans="1:23" x14ac:dyDescent="0.35">
      <c r="A5" s="6" t="str">
        <v>UR-04</v>
      </c>
      <c r="B5" s="4" t="str">
        <f>IF(COUNTIFS(TRAZABILIDAD!$A:$A,$A5,TRAZABILIDAD!$B:$B,B$1)&gt;0,"X","")</f>
        <v>X</v>
      </c>
      <c r="C5" s="4" t="str">
        <f>IF(COUNTIFS(TRAZABILIDAD!$A:$A,$A5,TRAZABILIDAD!$B:$B,C$1)&gt;0,"X","")</f>
        <v/>
      </c>
      <c r="D5" s="4" t="str">
        <f>IF(COUNTIFS(TRAZABILIDAD!$A:$A,$A5,TRAZABILIDAD!$B:$B,D$1)&gt;0,"X","")</f>
        <v/>
      </c>
      <c r="E5" s="4" t="str">
        <f>IF(COUNTIFS(TRAZABILIDAD!$A:$A,$A5,TRAZABILIDAD!$B:$B,E$1)&gt;0,"X","")</f>
        <v>X</v>
      </c>
      <c r="F5" s="4" t="str">
        <f>IF(COUNTIFS(TRAZABILIDAD!$A:$A,$A5,TRAZABILIDAD!$B:$B,F$1)&gt;0,"X","")</f>
        <v>X</v>
      </c>
      <c r="G5" s="4" t="str">
        <f>IF(COUNTIFS(TRAZABILIDAD!$A:$A,$A5,TRAZABILIDAD!$B:$B,G$1)&gt;0,"X","")</f>
        <v/>
      </c>
      <c r="H5" s="4" t="str">
        <f>IF(COUNTIFS(TRAZABILIDAD!$A:$A,$A5,TRAZABILIDAD!$B:$B,H$1)&gt;0,"X","")</f>
        <v/>
      </c>
      <c r="I5" s="4" t="str">
        <f>IF(COUNTIFS(TRAZABILIDAD!$A:$A,$A5,TRAZABILIDAD!$B:$B,I$1)&gt;0,"X","")</f>
        <v/>
      </c>
      <c r="J5" s="4" t="str">
        <f>IF(COUNTIFS(TRAZABILIDAD!$A:$A,$A5,TRAZABILIDAD!$B:$B,J$1)&gt;0,"X","")</f>
        <v/>
      </c>
      <c r="K5" s="4" t="str">
        <f>IF(COUNTIFS(TRAZABILIDAD!$A:$A,$A5,TRAZABILIDAD!$B:$B,K$1)&gt;0,"X","")</f>
        <v/>
      </c>
      <c r="L5" s="4" t="str">
        <f>IF(COUNTIFS(TRAZABILIDAD!$A:$A,$A5,TRAZABILIDAD!$B:$B,L$1)&gt;0,"X","")</f>
        <v/>
      </c>
      <c r="M5" s="4" t="str">
        <f>IF(COUNTIFS(TRAZABILIDAD!$A:$A,$A5,TRAZABILIDAD!$B:$B,M$1)&gt;0,"X","")</f>
        <v/>
      </c>
      <c r="N5" s="4" t="str">
        <f>IF(COUNTIFS(TRAZABILIDAD!$A:$A,$A5,TRAZABILIDAD!$B:$B,N$1)&gt;0,"X","")</f>
        <v/>
      </c>
      <c r="O5" s="4" t="str">
        <f>IF(COUNTIFS(TRAZABILIDAD!$A:$A,$A5,TRAZABILIDAD!$B:$B,O$1)&gt;0,"X","")</f>
        <v/>
      </c>
      <c r="P5" s="4" t="str">
        <f>IF(COUNTIFS(TRAZABILIDAD!$A:$A,$A5,TRAZABILIDAD!$B:$B,P$1)&gt;0,"X","")</f>
        <v/>
      </c>
      <c r="Q5" t="str">
        <f t="shared" si="0"/>
        <v>Cubierto</v>
      </c>
      <c r="R5" s="3"/>
      <c r="S5" s="3"/>
      <c r="T5" s="3"/>
      <c r="U5" s="3"/>
      <c r="V5" t="str">
        <v>UR-04</v>
      </c>
      <c r="W5" t="str">
        <v>El sistema debe ser capaz de almacenar y reenviar datos a estaciones terrenas.</v>
      </c>
    </row>
    <row r="6" spans="1:23" x14ac:dyDescent="0.35">
      <c r="A6" s="6" t="str">
        <v>UR-05</v>
      </c>
      <c r="B6" s="4" t="str">
        <f>IF(COUNTIFS(TRAZABILIDAD!$A:$A,$A6,TRAZABILIDAD!$B:$B,B$1)&gt;0,"X","")</f>
        <v/>
      </c>
      <c r="C6" s="4" t="str">
        <f>IF(COUNTIFS(TRAZABILIDAD!$A:$A,$A6,TRAZABILIDAD!$B:$B,C$1)&gt;0,"X","")</f>
        <v/>
      </c>
      <c r="D6" s="4" t="str">
        <f>IF(COUNTIFS(TRAZABILIDAD!$A:$A,$A6,TRAZABILIDAD!$B:$B,D$1)&gt;0,"X","")</f>
        <v>X</v>
      </c>
      <c r="E6" s="4" t="str">
        <f>IF(COUNTIFS(TRAZABILIDAD!$A:$A,$A6,TRAZABILIDAD!$B:$B,E$1)&gt;0,"X","")</f>
        <v/>
      </c>
      <c r="F6" s="4" t="str">
        <f>IF(COUNTIFS(TRAZABILIDAD!$A:$A,$A6,TRAZABILIDAD!$B:$B,F$1)&gt;0,"X","")</f>
        <v/>
      </c>
      <c r="G6" s="4" t="str">
        <f>IF(COUNTIFS(TRAZABILIDAD!$A:$A,$A6,TRAZABILIDAD!$B:$B,G$1)&gt;0,"X","")</f>
        <v/>
      </c>
      <c r="H6" s="4" t="str">
        <f>IF(COUNTIFS(TRAZABILIDAD!$A:$A,$A6,TRAZABILIDAD!$B:$B,H$1)&gt;0,"X","")</f>
        <v/>
      </c>
      <c r="I6" s="4" t="str">
        <f>IF(COUNTIFS(TRAZABILIDAD!$A:$A,$A6,TRAZABILIDAD!$B:$B,I$1)&gt;0,"X","")</f>
        <v/>
      </c>
      <c r="J6" s="4" t="str">
        <f>IF(COUNTIFS(TRAZABILIDAD!$A:$A,$A6,TRAZABILIDAD!$B:$B,J$1)&gt;0,"X","")</f>
        <v/>
      </c>
      <c r="K6" s="4" t="str">
        <f>IF(COUNTIFS(TRAZABILIDAD!$A:$A,$A6,TRAZABILIDAD!$B:$B,K$1)&gt;0,"X","")</f>
        <v/>
      </c>
      <c r="L6" s="4" t="str">
        <f>IF(COUNTIFS(TRAZABILIDAD!$A:$A,$A6,TRAZABILIDAD!$B:$B,L$1)&gt;0,"X","")</f>
        <v/>
      </c>
      <c r="M6" s="4" t="str">
        <f>IF(COUNTIFS(TRAZABILIDAD!$A:$A,$A6,TRAZABILIDAD!$B:$B,M$1)&gt;0,"X","")</f>
        <v/>
      </c>
      <c r="N6" s="4" t="str">
        <f>IF(COUNTIFS(TRAZABILIDAD!$A:$A,$A6,TRAZABILIDAD!$B:$B,N$1)&gt;0,"X","")</f>
        <v/>
      </c>
      <c r="O6" s="4" t="str">
        <f>IF(COUNTIFS(TRAZABILIDAD!$A:$A,$A6,TRAZABILIDAD!$B:$B,O$1)&gt;0,"X","")</f>
        <v/>
      </c>
      <c r="P6" s="4" t="str">
        <f>IF(COUNTIFS(TRAZABILIDAD!$A:$A,$A6,TRAZABILIDAD!$B:$B,P$1)&gt;0,"X","")</f>
        <v/>
      </c>
      <c r="Q6" t="str">
        <f t="shared" si="0"/>
        <v>Cubierto</v>
      </c>
      <c r="R6" s="3"/>
      <c r="S6" s="3"/>
      <c r="T6" s="3"/>
      <c r="U6" s="3"/>
      <c r="V6" t="str">
        <v>UR-05</v>
      </c>
      <c r="W6" t="str">
        <v>El sistema debe permitir una comunicación bidireccional con estaciones terrenas.</v>
      </c>
    </row>
    <row r="7" spans="1:23" x14ac:dyDescent="0.35">
      <c r="A7" s="6" t="str">
        <v>UR-06</v>
      </c>
      <c r="B7" s="4" t="str">
        <f>IF(COUNTIFS(TRAZABILIDAD!$A:$A,$A7,TRAZABILIDAD!$B:$B,B$1)&gt;0,"X","")</f>
        <v/>
      </c>
      <c r="C7" s="4" t="str">
        <f>IF(COUNTIFS(TRAZABILIDAD!$A:$A,$A7,TRAZABILIDAD!$B:$B,C$1)&gt;0,"X","")</f>
        <v/>
      </c>
      <c r="D7" s="4" t="str">
        <f>IF(COUNTIFS(TRAZABILIDAD!$A:$A,$A7,TRAZABILIDAD!$B:$B,D$1)&gt;0,"X","")</f>
        <v/>
      </c>
      <c r="E7" s="4" t="str">
        <f>IF(COUNTIFS(TRAZABILIDAD!$A:$A,$A7,TRAZABILIDAD!$B:$B,E$1)&gt;0,"X","")</f>
        <v>X</v>
      </c>
      <c r="F7" s="4" t="str">
        <f>IF(COUNTIFS(TRAZABILIDAD!$A:$A,$A7,TRAZABILIDAD!$B:$B,F$1)&gt;0,"X","")</f>
        <v/>
      </c>
      <c r="G7" s="4" t="str">
        <f>IF(COUNTIFS(TRAZABILIDAD!$A:$A,$A7,TRAZABILIDAD!$B:$B,G$1)&gt;0,"X","")</f>
        <v/>
      </c>
      <c r="H7" s="4" t="str">
        <f>IF(COUNTIFS(TRAZABILIDAD!$A:$A,$A7,TRAZABILIDAD!$B:$B,H$1)&gt;0,"X","")</f>
        <v>X</v>
      </c>
      <c r="I7" s="4" t="str">
        <f>IF(COUNTIFS(TRAZABILIDAD!$A:$A,$A7,TRAZABILIDAD!$B:$B,I$1)&gt;0,"X","")</f>
        <v/>
      </c>
      <c r="J7" s="4" t="str">
        <f>IF(COUNTIFS(TRAZABILIDAD!$A:$A,$A7,TRAZABILIDAD!$B:$B,J$1)&gt;0,"X","")</f>
        <v/>
      </c>
      <c r="K7" s="4" t="str">
        <f>IF(COUNTIFS(TRAZABILIDAD!$A:$A,$A7,TRAZABILIDAD!$B:$B,K$1)&gt;0,"X","")</f>
        <v/>
      </c>
      <c r="L7" s="4" t="str">
        <f>IF(COUNTIFS(TRAZABILIDAD!$A:$A,$A7,TRAZABILIDAD!$B:$B,L$1)&gt;0,"X","")</f>
        <v/>
      </c>
      <c r="M7" s="4" t="str">
        <f>IF(COUNTIFS(TRAZABILIDAD!$A:$A,$A7,TRAZABILIDAD!$B:$B,M$1)&gt;0,"X","")</f>
        <v/>
      </c>
      <c r="N7" s="4" t="str">
        <f>IF(COUNTIFS(TRAZABILIDAD!$A:$A,$A7,TRAZABILIDAD!$B:$B,N$1)&gt;0,"X","")</f>
        <v/>
      </c>
      <c r="O7" s="4" t="str">
        <f>IF(COUNTIFS(TRAZABILIDAD!$A:$A,$A7,TRAZABILIDAD!$B:$B,O$1)&gt;0,"X","")</f>
        <v/>
      </c>
      <c r="P7" s="4" t="str">
        <f>IF(COUNTIFS(TRAZABILIDAD!$A:$A,$A7,TRAZABILIDAD!$B:$B,P$1)&gt;0,"X","")</f>
        <v/>
      </c>
      <c r="Q7" t="str">
        <f t="shared" si="0"/>
        <v>Cubierto</v>
      </c>
      <c r="R7" s="3"/>
      <c r="S7" s="3"/>
      <c r="T7" s="3"/>
      <c r="U7" s="3"/>
      <c r="V7" t="str">
        <v>UR-06</v>
      </c>
      <c r="W7" t="str">
        <v>El sistema debe ser compatible con estaciones meteorológicas y sismológicas remotas existentes.</v>
      </c>
    </row>
    <row r="8" spans="1:23" x14ac:dyDescent="0.35">
      <c r="A8" s="6" t="str">
        <v>UR-07</v>
      </c>
      <c r="B8" s="4" t="str">
        <f>IF(COUNTIFS(TRAZABILIDAD!$A:$A,$A8,TRAZABILIDAD!$B:$B,B$1)&gt;0,"X","")</f>
        <v/>
      </c>
      <c r="C8" s="4" t="str">
        <f>IF(COUNTIFS(TRAZABILIDAD!$A:$A,$A8,TRAZABILIDAD!$B:$B,C$1)&gt;0,"X","")</f>
        <v/>
      </c>
      <c r="D8" s="4" t="str">
        <f>IF(COUNTIFS(TRAZABILIDAD!$A:$A,$A8,TRAZABILIDAD!$B:$B,D$1)&gt;0,"X","")</f>
        <v/>
      </c>
      <c r="E8" s="4" t="str">
        <f>IF(COUNTIFS(TRAZABILIDAD!$A:$A,$A8,TRAZABILIDAD!$B:$B,E$1)&gt;0,"X","")</f>
        <v/>
      </c>
      <c r="F8" s="4" t="str">
        <f>IF(COUNTIFS(TRAZABILIDAD!$A:$A,$A8,TRAZABILIDAD!$B:$B,F$1)&gt;0,"X","")</f>
        <v/>
      </c>
      <c r="G8" s="4" t="str">
        <f>IF(COUNTIFS(TRAZABILIDAD!$A:$A,$A8,TRAZABILIDAD!$B:$B,G$1)&gt;0,"X","")</f>
        <v/>
      </c>
      <c r="H8" s="4" t="str">
        <f>IF(COUNTIFS(TRAZABILIDAD!$A:$A,$A8,TRAZABILIDAD!$B:$B,H$1)&gt;0,"X","")</f>
        <v/>
      </c>
      <c r="I8" s="4" t="str">
        <f>IF(COUNTIFS(TRAZABILIDAD!$A:$A,$A8,TRAZABILIDAD!$B:$B,I$1)&gt;0,"X","")</f>
        <v/>
      </c>
      <c r="J8" s="4" t="str">
        <f>IF(COUNTIFS(TRAZABILIDAD!$A:$A,$A8,TRAZABILIDAD!$B:$B,J$1)&gt;0,"X","")</f>
        <v/>
      </c>
      <c r="K8" s="4" t="str">
        <f>IF(COUNTIFS(TRAZABILIDAD!$A:$A,$A8,TRAZABILIDAD!$B:$B,K$1)&gt;0,"X","")</f>
        <v/>
      </c>
      <c r="L8" s="4" t="str">
        <f>IF(COUNTIFS(TRAZABILIDAD!$A:$A,$A8,TRAZABILIDAD!$B:$B,L$1)&gt;0,"X","")</f>
        <v/>
      </c>
      <c r="M8" s="4" t="str">
        <f>IF(COUNTIFS(TRAZABILIDAD!$A:$A,$A8,TRAZABILIDAD!$B:$B,M$1)&gt;0,"X","")</f>
        <v>X</v>
      </c>
      <c r="N8" s="4" t="str">
        <f>IF(COUNTIFS(TRAZABILIDAD!$A:$A,$A8,TRAZABILIDAD!$B:$B,N$1)&gt;0,"X","")</f>
        <v/>
      </c>
      <c r="O8" s="4" t="str">
        <f>IF(COUNTIFS(TRAZABILIDAD!$A:$A,$A8,TRAZABILIDAD!$B:$B,O$1)&gt;0,"X","")</f>
        <v/>
      </c>
      <c r="P8" s="4" t="str">
        <f>IF(COUNTIFS(TRAZABILIDAD!$A:$A,$A8,TRAZABILIDAD!$B:$B,P$1)&gt;0,"X","")</f>
        <v/>
      </c>
      <c r="Q8" t="str">
        <f t="shared" si="0"/>
        <v>Cubierto</v>
      </c>
      <c r="R8" s="3"/>
      <c r="S8" s="3"/>
      <c r="T8" s="3"/>
      <c r="U8" s="3"/>
      <c r="V8" t="str">
        <v>UR-07</v>
      </c>
      <c r="W8" t="str">
        <v>El sistema debe ser de carácter experimental, con proyección a futuras aplicaciones comerciales.</v>
      </c>
    </row>
    <row r="9" spans="1:23" x14ac:dyDescent="0.35">
      <c r="A9" s="6" t="str">
        <v>UR-08</v>
      </c>
      <c r="B9" s="4" t="str">
        <f>IF(COUNTIFS(TRAZABILIDAD!$A:$A,$A9,TRAZABILIDAD!$B:$B,B$1)&gt;0,"X","")</f>
        <v/>
      </c>
      <c r="C9" s="4" t="str">
        <f>IF(COUNTIFS(TRAZABILIDAD!$A:$A,$A9,TRAZABILIDAD!$B:$B,C$1)&gt;0,"X","")</f>
        <v/>
      </c>
      <c r="D9" s="4" t="str">
        <f>IF(COUNTIFS(TRAZABILIDAD!$A:$A,$A9,TRAZABILIDAD!$B:$B,D$1)&gt;0,"X","")</f>
        <v/>
      </c>
      <c r="E9" s="4" t="str">
        <f>IF(COUNTIFS(TRAZABILIDAD!$A:$A,$A9,TRAZABILIDAD!$B:$B,E$1)&gt;0,"X","")</f>
        <v/>
      </c>
      <c r="F9" s="4" t="str">
        <f>IF(COUNTIFS(TRAZABILIDAD!$A:$A,$A9,TRAZABILIDAD!$B:$B,F$1)&gt;0,"X","")</f>
        <v/>
      </c>
      <c r="G9" s="4" t="str">
        <f>IF(COUNTIFS(TRAZABILIDAD!$A:$A,$A9,TRAZABILIDAD!$B:$B,G$1)&gt;0,"X","")</f>
        <v/>
      </c>
      <c r="H9" s="4" t="str">
        <f>IF(COUNTIFS(TRAZABILIDAD!$A:$A,$A9,TRAZABILIDAD!$B:$B,H$1)&gt;0,"X","")</f>
        <v/>
      </c>
      <c r="I9" s="4" t="str">
        <f>IF(COUNTIFS(TRAZABILIDAD!$A:$A,$A9,TRAZABILIDAD!$B:$B,I$1)&gt;0,"X","")</f>
        <v/>
      </c>
      <c r="J9" s="4" t="str">
        <f>IF(COUNTIFS(TRAZABILIDAD!$A:$A,$A9,TRAZABILIDAD!$B:$B,J$1)&gt;0,"X","")</f>
        <v/>
      </c>
      <c r="K9" s="4" t="str">
        <f>IF(COUNTIFS(TRAZABILIDAD!$A:$A,$A9,TRAZABILIDAD!$B:$B,K$1)&gt;0,"X","")</f>
        <v/>
      </c>
      <c r="L9" s="4" t="str">
        <f>IF(COUNTIFS(TRAZABILIDAD!$A:$A,$A9,TRAZABILIDAD!$B:$B,L$1)&gt;0,"X","")</f>
        <v/>
      </c>
      <c r="M9" s="4" t="str">
        <f>IF(COUNTIFS(TRAZABILIDAD!$A:$A,$A9,TRAZABILIDAD!$B:$B,M$1)&gt;0,"X","")</f>
        <v>X</v>
      </c>
      <c r="N9" s="4" t="str">
        <f>IF(COUNTIFS(TRAZABILIDAD!$A:$A,$A9,TRAZABILIDAD!$B:$B,N$1)&gt;0,"X","")</f>
        <v/>
      </c>
      <c r="O9" s="4" t="str">
        <f>IF(COUNTIFS(TRAZABILIDAD!$A:$A,$A9,TRAZABILIDAD!$B:$B,O$1)&gt;0,"X","")</f>
        <v/>
      </c>
      <c r="P9" s="4" t="str">
        <f>IF(COUNTIFS(TRAZABILIDAD!$A:$A,$A9,TRAZABILIDAD!$B:$B,P$1)&gt;0,"X","")</f>
        <v/>
      </c>
      <c r="Q9" t="str">
        <f t="shared" si="0"/>
        <v>Cubierto</v>
      </c>
      <c r="R9" s="3"/>
      <c r="S9" s="3"/>
      <c r="T9" s="3"/>
      <c r="U9" s="3"/>
      <c r="V9" t="str">
        <v>UR-08</v>
      </c>
      <c r="W9" t="str">
        <v>El sistema debe presentar una arquitectura modular, reutilizable y escalable.</v>
      </c>
    </row>
    <row r="10" spans="1:23" x14ac:dyDescent="0.35">
      <c r="A10" s="6" t="str">
        <v>UR-09</v>
      </c>
      <c r="B10" s="4" t="str">
        <f>IF(COUNTIFS(TRAZABILIDAD!$A:$A,$A10,TRAZABILIDAD!$B:$B,B$1)&gt;0,"X","")</f>
        <v>X</v>
      </c>
      <c r="C10" s="4" t="str">
        <f>IF(COUNTIFS(TRAZABILIDAD!$A:$A,$A10,TRAZABILIDAD!$B:$B,C$1)&gt;0,"X","")</f>
        <v/>
      </c>
      <c r="D10" s="4" t="str">
        <f>IF(COUNTIFS(TRAZABILIDAD!$A:$A,$A10,TRAZABILIDAD!$B:$B,D$1)&gt;0,"X","")</f>
        <v/>
      </c>
      <c r="E10" s="4" t="str">
        <f>IF(COUNTIFS(TRAZABILIDAD!$A:$A,$A10,TRAZABILIDAD!$B:$B,E$1)&gt;0,"X","")</f>
        <v/>
      </c>
      <c r="F10" s="4" t="str">
        <f>IF(COUNTIFS(TRAZABILIDAD!$A:$A,$A10,TRAZABILIDAD!$B:$B,F$1)&gt;0,"X","")</f>
        <v/>
      </c>
      <c r="G10" s="4" t="str">
        <f>IF(COUNTIFS(TRAZABILIDAD!$A:$A,$A10,TRAZABILIDAD!$B:$B,G$1)&gt;0,"X","")</f>
        <v/>
      </c>
      <c r="H10" s="4" t="str">
        <f>IF(COUNTIFS(TRAZABILIDAD!$A:$A,$A10,TRAZABILIDAD!$B:$B,H$1)&gt;0,"X","")</f>
        <v/>
      </c>
      <c r="I10" s="4" t="str">
        <f>IF(COUNTIFS(TRAZABILIDAD!$A:$A,$A10,TRAZABILIDAD!$B:$B,I$1)&gt;0,"X","")</f>
        <v/>
      </c>
      <c r="J10" s="4" t="str">
        <f>IF(COUNTIFS(TRAZABILIDAD!$A:$A,$A10,TRAZABILIDAD!$B:$B,J$1)&gt;0,"X","")</f>
        <v/>
      </c>
      <c r="K10" s="4" t="str">
        <f>IF(COUNTIFS(TRAZABILIDAD!$A:$A,$A10,TRAZABILIDAD!$B:$B,K$1)&gt;0,"X","")</f>
        <v>X</v>
      </c>
      <c r="L10" s="4" t="str">
        <f>IF(COUNTIFS(TRAZABILIDAD!$A:$A,$A10,TRAZABILIDAD!$B:$B,L$1)&gt;0,"X","")</f>
        <v>X</v>
      </c>
      <c r="M10" s="4" t="str">
        <f>IF(COUNTIFS(TRAZABILIDAD!$A:$A,$A10,TRAZABILIDAD!$B:$B,M$1)&gt;0,"X","")</f>
        <v/>
      </c>
      <c r="N10" s="4" t="str">
        <f>IF(COUNTIFS(TRAZABILIDAD!$A:$A,$A10,TRAZABILIDAD!$B:$B,N$1)&gt;0,"X","")</f>
        <v/>
      </c>
      <c r="O10" s="4" t="str">
        <f>IF(COUNTIFS(TRAZABILIDAD!$A:$A,$A10,TRAZABILIDAD!$B:$B,O$1)&gt;0,"X","")</f>
        <v/>
      </c>
      <c r="P10" s="4" t="str">
        <f>IF(COUNTIFS(TRAZABILIDAD!$A:$A,$A10,TRAZABILIDAD!$B:$B,P$1)&gt;0,"X","")</f>
        <v/>
      </c>
      <c r="Q10" t="str">
        <f t="shared" si="0"/>
        <v>Cubierto</v>
      </c>
      <c r="R10" s="3"/>
      <c r="S10" s="3"/>
      <c r="T10" s="3"/>
      <c r="U10" s="3"/>
      <c r="V10" t="str">
        <v>UR-09</v>
      </c>
      <c r="W10" t="str">
        <v>El sistema debe garantizar la integridad de los datos almacenados a bordo.</v>
      </c>
    </row>
    <row r="11" spans="1:23" x14ac:dyDescent="0.35">
      <c r="A11" s="6" t="str">
        <v>UR-10</v>
      </c>
      <c r="B11" s="4" t="str">
        <f>IF(COUNTIFS(TRAZABILIDAD!$A:$A,$A11,TRAZABILIDAD!$B:$B,B$1)&gt;0,"X","")</f>
        <v/>
      </c>
      <c r="C11" s="4" t="str">
        <f>IF(COUNTIFS(TRAZABILIDAD!$A:$A,$A11,TRAZABILIDAD!$B:$B,C$1)&gt;0,"X","")</f>
        <v/>
      </c>
      <c r="D11" s="4" t="str">
        <f>IF(COUNTIFS(TRAZABILIDAD!$A:$A,$A11,TRAZABILIDAD!$B:$B,D$1)&gt;0,"X","")</f>
        <v/>
      </c>
      <c r="E11" s="4" t="str">
        <f>IF(COUNTIFS(TRAZABILIDAD!$A:$A,$A11,TRAZABILIDAD!$B:$B,E$1)&gt;0,"X","")</f>
        <v/>
      </c>
      <c r="F11" s="4" t="str">
        <f>IF(COUNTIFS(TRAZABILIDAD!$A:$A,$A11,TRAZABILIDAD!$B:$B,F$1)&gt;0,"X","")</f>
        <v/>
      </c>
      <c r="G11" s="4" t="str">
        <f>IF(COUNTIFS(TRAZABILIDAD!$A:$A,$A11,TRAZABILIDAD!$B:$B,G$1)&gt;0,"X","")</f>
        <v/>
      </c>
      <c r="H11" s="4" t="str">
        <f>IF(COUNTIFS(TRAZABILIDAD!$A:$A,$A11,TRAZABILIDAD!$B:$B,H$1)&gt;0,"X","")</f>
        <v/>
      </c>
      <c r="I11" s="4" t="str">
        <f>IF(COUNTIFS(TRAZABILIDAD!$A:$A,$A11,TRAZABILIDAD!$B:$B,I$1)&gt;0,"X","")</f>
        <v>X</v>
      </c>
      <c r="J11" s="4" t="str">
        <f>IF(COUNTIFS(TRAZABILIDAD!$A:$A,$A11,TRAZABILIDAD!$B:$B,J$1)&gt;0,"X","")</f>
        <v/>
      </c>
      <c r="K11" s="4" t="str">
        <f>IF(COUNTIFS(TRAZABILIDAD!$A:$A,$A11,TRAZABILIDAD!$B:$B,K$1)&gt;0,"X","")</f>
        <v>X</v>
      </c>
      <c r="L11" s="4" t="str">
        <f>IF(COUNTIFS(TRAZABILIDAD!$A:$A,$A11,TRAZABILIDAD!$B:$B,L$1)&gt;0,"X","")</f>
        <v/>
      </c>
      <c r="M11" s="4" t="str">
        <f>IF(COUNTIFS(TRAZABILIDAD!$A:$A,$A11,TRAZABILIDAD!$B:$B,M$1)&gt;0,"X","")</f>
        <v/>
      </c>
      <c r="N11" s="4" t="str">
        <f>IF(COUNTIFS(TRAZABILIDAD!$A:$A,$A11,TRAZABILIDAD!$B:$B,N$1)&gt;0,"X","")</f>
        <v/>
      </c>
      <c r="O11" s="4" t="str">
        <f>IF(COUNTIFS(TRAZABILIDAD!$A:$A,$A11,TRAZABILIDAD!$B:$B,O$1)&gt;0,"X","")</f>
        <v/>
      </c>
      <c r="P11" s="4" t="str">
        <f>IF(COUNTIFS(TRAZABILIDAD!$A:$A,$A11,TRAZABILIDAD!$B:$B,P$1)&gt;0,"X","")</f>
        <v/>
      </c>
      <c r="Q11" t="str">
        <f t="shared" si="0"/>
        <v>Cubierto</v>
      </c>
      <c r="R11" s="3"/>
      <c r="S11" s="3"/>
      <c r="T11" s="3"/>
      <c r="U11" s="3"/>
      <c r="V11" t="str">
        <v>UR-10</v>
      </c>
      <c r="W11" t="str">
        <v>El sistema debe operar de forma sostenida durante la vida útil del satélite.</v>
      </c>
    </row>
    <row r="12" spans="1:23" x14ac:dyDescent="0.35">
      <c r="A12" s="6" t="str">
        <v>UR-11</v>
      </c>
      <c r="B12" s="4" t="str">
        <f>IF(COUNTIFS(TRAZABILIDAD!$A:$A,$A12,TRAZABILIDAD!$B:$B,B$1)&gt;0,"X","")</f>
        <v/>
      </c>
      <c r="C12" s="4" t="str">
        <f>IF(COUNTIFS(TRAZABILIDAD!$A:$A,$A12,TRAZABILIDAD!$B:$B,C$1)&gt;0,"X","")</f>
        <v/>
      </c>
      <c r="D12" s="4" t="str">
        <f>IF(COUNTIFS(TRAZABILIDAD!$A:$A,$A12,TRAZABILIDAD!$B:$B,D$1)&gt;0,"X","")</f>
        <v/>
      </c>
      <c r="E12" s="4" t="str">
        <f>IF(COUNTIFS(TRAZABILIDAD!$A:$A,$A12,TRAZABILIDAD!$B:$B,E$1)&gt;0,"X","")</f>
        <v/>
      </c>
      <c r="F12" s="4" t="str">
        <f>IF(COUNTIFS(TRAZABILIDAD!$A:$A,$A12,TRAZABILIDAD!$B:$B,F$1)&gt;0,"X","")</f>
        <v/>
      </c>
      <c r="G12" s="4" t="str">
        <f>IF(COUNTIFS(TRAZABILIDAD!$A:$A,$A12,TRAZABILIDAD!$B:$B,G$1)&gt;0,"X","")</f>
        <v/>
      </c>
      <c r="H12" s="4" t="str">
        <f>IF(COUNTIFS(TRAZABILIDAD!$A:$A,$A12,TRAZABILIDAD!$B:$B,H$1)&gt;0,"X","")</f>
        <v/>
      </c>
      <c r="I12" s="4" t="str">
        <f>IF(COUNTIFS(TRAZABILIDAD!$A:$A,$A12,TRAZABILIDAD!$B:$B,I$1)&gt;0,"X","")</f>
        <v/>
      </c>
      <c r="J12" s="4" t="str">
        <f>IF(COUNTIFS(TRAZABILIDAD!$A:$A,$A12,TRAZABILIDAD!$B:$B,J$1)&gt;0,"X","")</f>
        <v/>
      </c>
      <c r="K12" s="4" t="str">
        <f>IF(COUNTIFS(TRAZABILIDAD!$A:$A,$A12,TRAZABILIDAD!$B:$B,K$1)&gt;0,"X","")</f>
        <v/>
      </c>
      <c r="L12" s="4" t="str">
        <f>IF(COUNTIFS(TRAZABILIDAD!$A:$A,$A12,TRAZABILIDAD!$B:$B,L$1)&gt;0,"X","")</f>
        <v/>
      </c>
      <c r="M12" s="4" t="str">
        <f>IF(COUNTIFS(TRAZABILIDAD!$A:$A,$A12,TRAZABILIDAD!$B:$B,M$1)&gt;0,"X","")</f>
        <v/>
      </c>
      <c r="N12" s="4" t="str">
        <f>IF(COUNTIFS(TRAZABILIDAD!$A:$A,$A12,TRAZABILIDAD!$B:$B,N$1)&gt;0,"X","")</f>
        <v>X</v>
      </c>
      <c r="O12" s="4" t="str">
        <f>IF(COUNTIFS(TRAZABILIDAD!$A:$A,$A12,TRAZABILIDAD!$B:$B,O$1)&gt;0,"X","")</f>
        <v/>
      </c>
      <c r="P12" s="4" t="str">
        <f>IF(COUNTIFS(TRAZABILIDAD!$A:$A,$A12,TRAZABILIDAD!$B:$B,P$1)&gt;0,"X","")</f>
        <v/>
      </c>
      <c r="Q12" t="str">
        <f t="shared" si="0"/>
        <v>Cubierto</v>
      </c>
      <c r="R12" s="3"/>
      <c r="S12" s="3"/>
      <c r="T12" s="3"/>
      <c r="U12" s="3"/>
      <c r="V12" t="str">
        <v>UR-11</v>
      </c>
      <c r="W12" t="str">
        <v>El sistema debe ser validado mediante pruebas funcionales en tierra y demostración en órbita.</v>
      </c>
    </row>
    <row r="13" spans="1:23" x14ac:dyDescent="0.35">
      <c r="A13" s="6" t="str">
        <v>UR-12</v>
      </c>
      <c r="B13" s="4" t="str">
        <f>IF(COUNTIFS(TRAZABILIDAD!$A:$A,$A13,TRAZABILIDAD!$B:$B,B$1)&gt;0,"X","")</f>
        <v/>
      </c>
      <c r="C13" s="4" t="str">
        <f>IF(COUNTIFS(TRAZABILIDAD!$A:$A,$A13,TRAZABILIDAD!$B:$B,C$1)&gt;0,"X","")</f>
        <v/>
      </c>
      <c r="D13" s="4" t="str">
        <f>IF(COUNTIFS(TRAZABILIDAD!$A:$A,$A13,TRAZABILIDAD!$B:$B,D$1)&gt;0,"X","")</f>
        <v/>
      </c>
      <c r="E13" s="4" t="str">
        <f>IF(COUNTIFS(TRAZABILIDAD!$A:$A,$A13,TRAZABILIDAD!$B:$B,E$1)&gt;0,"X","")</f>
        <v/>
      </c>
      <c r="F13" s="4" t="str">
        <f>IF(COUNTIFS(TRAZABILIDAD!$A:$A,$A13,TRAZABILIDAD!$B:$B,F$1)&gt;0,"X","")</f>
        <v/>
      </c>
      <c r="G13" s="4" t="str">
        <f>IF(COUNTIFS(TRAZABILIDAD!$A:$A,$A13,TRAZABILIDAD!$B:$B,G$1)&gt;0,"X","")</f>
        <v/>
      </c>
      <c r="H13" s="4" t="str">
        <f>IF(COUNTIFS(TRAZABILIDAD!$A:$A,$A13,TRAZABILIDAD!$B:$B,H$1)&gt;0,"X","")</f>
        <v/>
      </c>
      <c r="I13" s="4" t="str">
        <f>IF(COUNTIFS(TRAZABILIDAD!$A:$A,$A13,TRAZABILIDAD!$B:$B,I$1)&gt;0,"X","")</f>
        <v/>
      </c>
      <c r="J13" s="4" t="str">
        <f>IF(COUNTIFS(TRAZABILIDAD!$A:$A,$A13,TRAZABILIDAD!$B:$B,J$1)&gt;0,"X","")</f>
        <v/>
      </c>
      <c r="K13" s="4" t="str">
        <f>IF(COUNTIFS(TRAZABILIDAD!$A:$A,$A13,TRAZABILIDAD!$B:$B,K$1)&gt;0,"X","")</f>
        <v>X</v>
      </c>
      <c r="L13" s="4" t="str">
        <f>IF(COUNTIFS(TRAZABILIDAD!$A:$A,$A13,TRAZABILIDAD!$B:$B,L$1)&gt;0,"X","")</f>
        <v/>
      </c>
      <c r="M13" s="4" t="str">
        <f>IF(COUNTIFS(TRAZABILIDAD!$A:$A,$A13,TRAZABILIDAD!$B:$B,M$1)&gt;0,"X","")</f>
        <v>X</v>
      </c>
      <c r="N13" s="4" t="str">
        <f>IF(COUNTIFS(TRAZABILIDAD!$A:$A,$A13,TRAZABILIDAD!$B:$B,N$1)&gt;0,"X","")</f>
        <v/>
      </c>
      <c r="O13" s="4" t="str">
        <f>IF(COUNTIFS(TRAZABILIDAD!$A:$A,$A13,TRAZABILIDAD!$B:$B,O$1)&gt;0,"X","")</f>
        <v/>
      </c>
      <c r="P13" s="4" t="str">
        <f>IF(COUNTIFS(TRAZABILIDAD!$A:$A,$A13,TRAZABILIDAD!$B:$B,P$1)&gt;0,"X","")</f>
        <v/>
      </c>
      <c r="Q13" t="str">
        <f t="shared" si="0"/>
        <v>Cubierto</v>
      </c>
      <c r="R13" s="3"/>
      <c r="S13" s="3"/>
      <c r="T13" s="3"/>
      <c r="U13" s="3"/>
      <c r="V13" t="str">
        <v>UR-12</v>
      </c>
      <c r="W13" t="str">
        <v>El sistema debe utilizar componentes de bajo costo, tales como componentes COTS.</v>
      </c>
    </row>
    <row r="14" spans="1:23" x14ac:dyDescent="0.35">
      <c r="A14" s="3"/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</row>
    <row r="15" spans="1:23" x14ac:dyDescent="0.35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</row>
    <row r="18" spans="22:23" x14ac:dyDescent="0.35">
      <c r="V18" t="str" cm="1">
        <f t="array" ref="V18:V32">Tabla_SR[ID]</f>
        <v>SR-01</v>
      </c>
      <c r="W18" t="str" cm="1">
        <f t="array" ref="W18:W32">Tabla_SR[Descripción del Requerimiento]</f>
        <v>El sistema debe implementar recepción, almacenamiento no volátil y reenvío de datos.</v>
      </c>
    </row>
    <row r="19" spans="22:23" x14ac:dyDescent="0.35">
      <c r="V19" t="str">
        <v>SR-02</v>
      </c>
      <c r="W19" t="str">
        <v>El sistema debe transmitir en una banda permitida por la SUBTEL e ITU. (Banda S)</v>
      </c>
    </row>
    <row r="20" spans="22:23" x14ac:dyDescent="0.35">
      <c r="V20" t="str">
        <v>SR-03</v>
      </c>
      <c r="W20" t="str">
        <v>El sistema debe soportar comunicación half-duplex o full-duplex con estaciones terrenas.</v>
      </c>
    </row>
    <row r="21" spans="22:23" x14ac:dyDescent="0.35">
      <c r="V21" t="str">
        <v>SR-04</v>
      </c>
      <c r="W21" t="str">
        <v>El sistema debe utilizar modulación digital robusta (BPSK o QPSK) con una tasa de transmisión acorde al formato de datos.</v>
      </c>
    </row>
    <row r="22" spans="22:23" x14ac:dyDescent="0.35">
      <c r="V22" t="str">
        <v>SR-05</v>
      </c>
      <c r="W22" t="str">
        <v>El sistema debe sobrescribir datos antiguos al alcanzar capacidad máxima.</v>
      </c>
    </row>
    <row r="23" spans="22:23" x14ac:dyDescent="0.35">
      <c r="V23" t="str">
        <v>SR-06</v>
      </c>
      <c r="W23" t="str">
        <v>El sistema debe comunicarse con el OBC mediante una única interfaz (I2C) y reportar su estado periodicamente.</v>
      </c>
    </row>
    <row r="24" spans="22:23" x14ac:dyDescent="0.35">
      <c r="V24" t="str">
        <v>SR-07</v>
      </c>
      <c r="W24" t="str">
        <v>El sistema debe recibir en una banda ancha en el espectro UHF. (430, 868, 928, 1620 MHz)</v>
      </c>
    </row>
    <row r="25" spans="22:23" x14ac:dyDescent="0.35">
      <c r="V25" t="str">
        <v>SR-08</v>
      </c>
      <c r="W25" t="str">
        <v>El sistema debe consumir un máximo de 10 W en operación nominal.</v>
      </c>
    </row>
    <row r="26" spans="22:23" x14ac:dyDescent="0.35">
      <c r="V26" t="str">
        <v>SR-09</v>
      </c>
      <c r="W26" t="str">
        <v>El sistema debe escuchar activamente y transmitir cuando el OBC lo ordene. (SDR)</v>
      </c>
    </row>
    <row r="27" spans="22:23" x14ac:dyDescent="0.35">
      <c r="V27" t="str">
        <v>SR-10</v>
      </c>
      <c r="W27" t="str">
        <v>El sistema debe ser resiliente a EMI y estar encapsulado en una jaula de Faraday.</v>
      </c>
    </row>
    <row r="28" spans="22:23" x14ac:dyDescent="0.35">
      <c r="V28" t="str">
        <v>SR-11</v>
      </c>
      <c r="W28" t="str">
        <v>El sistema debe implementar mecanismos de integridad de datos y control de acceso.</v>
      </c>
    </row>
    <row r="29" spans="22:23" x14ac:dyDescent="0.35">
      <c r="V29" t="str">
        <v>SR-12</v>
      </c>
      <c r="W29" t="str">
        <v>El sistema debe diseñarse de forma modular, escalable y su firmware debe ser actualizable.</v>
      </c>
    </row>
    <row r="30" spans="22:23" x14ac:dyDescent="0.35">
      <c r="V30" t="str">
        <v>SR-13</v>
      </c>
      <c r="W30" t="str">
        <v>El sistema debe ser completamente verificable en tierra y en órbita.</v>
      </c>
    </row>
    <row r="31" spans="22:23" x14ac:dyDescent="0.35">
      <c r="V31" t="str">
        <v>SR-14</v>
      </c>
      <c r="W31" t="str">
        <v>El sistema debe tener dimensiones máximas 20 cm x 20 cm x 10 cm.</v>
      </c>
    </row>
    <row r="32" spans="22:23" x14ac:dyDescent="0.35">
      <c r="V32" t="str">
        <v>SR-15</v>
      </c>
      <c r="W32" t="str">
        <v>El sistema debe tener masa de 3 kg.</v>
      </c>
    </row>
  </sheetData>
  <conditionalFormatting sqref="B2:P13">
    <cfRule type="expression" dxfId="1" priority="3">
      <formula>B2="X"</formula>
    </cfRule>
  </conditionalFormatting>
  <conditionalFormatting sqref="Q2:Q13">
    <cfRule type="containsText" dxfId="0" priority="1" operator="containsText" text="No cubierto">
      <formula>NOT(ISERROR(SEARCH("No cubierto",Q2)))</formula>
    </cfRule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UR</vt:lpstr>
      <vt:lpstr>SR</vt:lpstr>
      <vt:lpstr>TRAZABILIDAD</vt:lpstr>
      <vt:lpstr>MT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Practico IDI 2</dc:creator>
  <cp:lastModifiedBy>Practico IDI 2</cp:lastModifiedBy>
  <dcterms:created xsi:type="dcterms:W3CDTF">2026-01-07T13:35:58Z</dcterms:created>
  <dcterms:modified xsi:type="dcterms:W3CDTF">2026-01-19T12:23:12Z</dcterms:modified>
</cp:coreProperties>
</file>