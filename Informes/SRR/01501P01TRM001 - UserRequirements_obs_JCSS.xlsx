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4073929bd75ab2/SAURIO STUFF/DTS/DEPTO_DESARROLLO_ESPACIAL/PRACTICA PROFESIONAL/UC/"/>
    </mc:Choice>
  </mc:AlternateContent>
  <xr:revisionPtr revIDLastSave="0" documentId="8_{D5516FD4-50FE-4C15-9858-F1AA40D6024C}" xr6:coauthVersionLast="47" xr6:coauthVersionMax="47" xr10:uidLastSave="{00000000-0000-0000-0000-000000000000}"/>
  <bookViews>
    <workbookView xWindow="3096" yWindow="1356" windowWidth="19488" windowHeight="12120" activeTab="1" xr2:uid="{92954132-65A6-428B-A2FA-A44D89BDE57A}"/>
  </bookViews>
  <sheets>
    <sheet name="UR" sheetId="1" r:id="rId1"/>
    <sheet name="SR" sheetId="3" r:id="rId2"/>
    <sheet name="TRAZABILIDAD" sheetId="4" r:id="rId3"/>
    <sheet name="M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" l="1"/>
  <c r="B1" i="2" a="1"/>
  <c r="B1" i="2" s="1"/>
  <c r="G11" i="2"/>
  <c r="O3" i="2"/>
  <c r="O4" i="2"/>
  <c r="G3" i="2"/>
  <c r="G9" i="2"/>
  <c r="O9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Q13" i="2" l="1"/>
  <c r="Q10" i="2"/>
  <c r="Q3" i="2"/>
  <c r="Q11" i="2"/>
  <c r="Q6" i="2"/>
  <c r="Q5" i="2"/>
  <c r="I10" i="2"/>
  <c r="I3" i="2"/>
  <c r="I11" i="2"/>
  <c r="I13" i="2"/>
  <c r="I5" i="2"/>
  <c r="I6" i="2"/>
  <c r="O11" i="2"/>
  <c r="G4" i="2"/>
  <c r="B3" i="2"/>
  <c r="B11" i="2"/>
  <c r="B15" i="2"/>
  <c r="B4" i="2"/>
  <c r="B12" i="2"/>
  <c r="B6" i="2"/>
  <c r="B5" i="2"/>
  <c r="B13" i="2"/>
  <c r="B14" i="2"/>
  <c r="B7" i="2"/>
  <c r="B8" i="2"/>
  <c r="B2" i="2"/>
  <c r="B10" i="2"/>
  <c r="B9" i="2"/>
  <c r="O14" i="2"/>
  <c r="G14" i="2"/>
  <c r="Q8" i="2"/>
  <c r="I8" i="2"/>
  <c r="O6" i="2"/>
  <c r="G6" i="2"/>
  <c r="G8" i="2"/>
  <c r="I15" i="2"/>
  <c r="O13" i="2"/>
  <c r="G13" i="2"/>
  <c r="Q7" i="2"/>
  <c r="I7" i="2"/>
  <c r="O5" i="2"/>
  <c r="G5" i="2"/>
  <c r="Q12" i="2"/>
  <c r="I12" i="2"/>
  <c r="O10" i="2"/>
  <c r="G10" i="2"/>
  <c r="Q4" i="2"/>
  <c r="I4" i="2"/>
  <c r="O2" i="2"/>
  <c r="G2" i="2"/>
  <c r="Q2" i="2"/>
  <c r="O15" i="2"/>
  <c r="G15" i="2"/>
  <c r="Q9" i="2"/>
  <c r="I9" i="2"/>
  <c r="O7" i="2"/>
  <c r="G7" i="2"/>
  <c r="O8" i="2"/>
  <c r="I2" i="2"/>
  <c r="Q15" i="2"/>
  <c r="Q14" i="2"/>
  <c r="I14" i="2"/>
  <c r="O12" i="2"/>
  <c r="G12" i="2"/>
  <c r="S5" i="2" l="1"/>
  <c r="S8" i="2"/>
  <c r="S4" i="2"/>
  <c r="S3" i="2"/>
  <c r="S11" i="2"/>
  <c r="S6" i="2"/>
  <c r="S14" i="2"/>
  <c r="S12" i="2"/>
  <c r="S9" i="2"/>
  <c r="S7" i="2"/>
  <c r="S15" i="2"/>
  <c r="S13" i="2"/>
  <c r="S2" i="2"/>
  <c r="S10" i="2"/>
  <c r="M7" i="2"/>
  <c r="M2" i="2"/>
  <c r="M10" i="2"/>
  <c r="M6" i="2"/>
  <c r="M14" i="2"/>
  <c r="M5" i="2"/>
  <c r="M13" i="2"/>
  <c r="M8" i="2"/>
  <c r="M3" i="2"/>
  <c r="M11" i="2"/>
  <c r="M9" i="2"/>
  <c r="M15" i="2"/>
  <c r="M12" i="2"/>
  <c r="P6" i="2"/>
  <c r="P9" i="2"/>
  <c r="P13" i="2"/>
  <c r="P4" i="2"/>
  <c r="P12" i="2"/>
  <c r="P7" i="2"/>
  <c r="P15" i="2"/>
  <c r="P2" i="2"/>
  <c r="P10" i="2"/>
  <c r="P5" i="2"/>
  <c r="P8" i="2"/>
  <c r="P14" i="2"/>
  <c r="P3" i="2"/>
  <c r="P11" i="2"/>
  <c r="N4" i="2"/>
  <c r="N7" i="2"/>
  <c r="N15" i="2"/>
  <c r="N11" i="2"/>
  <c r="N2" i="2"/>
  <c r="N10" i="2"/>
  <c r="N5" i="2"/>
  <c r="N13" i="2"/>
  <c r="N8" i="2"/>
  <c r="N3" i="2"/>
  <c r="N6" i="2"/>
  <c r="N14" i="2"/>
  <c r="N12" i="2"/>
  <c r="N9" i="2"/>
  <c r="L10" i="2"/>
  <c r="L5" i="2"/>
  <c r="L13" i="2"/>
  <c r="L4" i="2"/>
  <c r="L12" i="2"/>
  <c r="L8" i="2"/>
  <c r="L3" i="2"/>
  <c r="L11" i="2"/>
  <c r="L9" i="2"/>
  <c r="L6" i="2"/>
  <c r="L14" i="2"/>
  <c r="L7" i="2"/>
  <c r="L15" i="2"/>
  <c r="L2" i="2"/>
  <c r="U7" i="2"/>
  <c r="U2" i="2"/>
  <c r="U10" i="2"/>
  <c r="U5" i="2"/>
  <c r="U13" i="2"/>
  <c r="U8" i="2"/>
  <c r="U14" i="2"/>
  <c r="U3" i="2"/>
  <c r="U11" i="2"/>
  <c r="U6" i="2"/>
  <c r="U9" i="2"/>
  <c r="U15" i="2"/>
  <c r="U4" i="2"/>
  <c r="U12" i="2"/>
  <c r="D2" i="2"/>
  <c r="D10" i="2"/>
  <c r="D5" i="2"/>
  <c r="D13" i="2"/>
  <c r="D4" i="2"/>
  <c r="D12" i="2"/>
  <c r="D8" i="2"/>
  <c r="D9" i="2"/>
  <c r="D3" i="2"/>
  <c r="D11" i="2"/>
  <c r="D6" i="2"/>
  <c r="D14" i="2"/>
  <c r="D7" i="2"/>
  <c r="D15" i="2"/>
  <c r="J8" i="2"/>
  <c r="J3" i="2"/>
  <c r="J11" i="2"/>
  <c r="J15" i="2"/>
  <c r="J2" i="2"/>
  <c r="J6" i="2"/>
  <c r="J14" i="2"/>
  <c r="J7" i="2"/>
  <c r="J9" i="2"/>
  <c r="J4" i="2"/>
  <c r="J12" i="2"/>
  <c r="J10" i="2"/>
  <c r="J5" i="2"/>
  <c r="J13" i="2"/>
  <c r="R8" i="2"/>
  <c r="R3" i="2"/>
  <c r="R11" i="2"/>
  <c r="R2" i="2"/>
  <c r="R6" i="2"/>
  <c r="R14" i="2"/>
  <c r="R9" i="2"/>
  <c r="R7" i="2"/>
  <c r="R15" i="2"/>
  <c r="R4" i="2"/>
  <c r="R12" i="2"/>
  <c r="R10" i="2"/>
  <c r="R5" i="2"/>
  <c r="R13" i="2"/>
  <c r="F4" i="2"/>
  <c r="F7" i="2"/>
  <c r="F15" i="2"/>
  <c r="F2" i="2"/>
  <c r="F10" i="2"/>
  <c r="F5" i="2"/>
  <c r="F13" i="2"/>
  <c r="F3" i="2"/>
  <c r="F11" i="2"/>
  <c r="F8" i="2"/>
  <c r="F6" i="2"/>
  <c r="F14" i="2"/>
  <c r="F12" i="2"/>
  <c r="F9" i="2"/>
  <c r="T10" i="2"/>
  <c r="T5" i="2"/>
  <c r="T13" i="2"/>
  <c r="T9" i="2"/>
  <c r="T4" i="2"/>
  <c r="T12" i="2"/>
  <c r="T8" i="2"/>
  <c r="T3" i="2"/>
  <c r="T11" i="2"/>
  <c r="T14" i="2"/>
  <c r="T6" i="2"/>
  <c r="T7" i="2"/>
  <c r="T15" i="2"/>
  <c r="T2" i="2"/>
  <c r="K5" i="2"/>
  <c r="K8" i="2"/>
  <c r="K12" i="2"/>
  <c r="K3" i="2"/>
  <c r="K11" i="2"/>
  <c r="K6" i="2"/>
  <c r="K14" i="2"/>
  <c r="K4" i="2"/>
  <c r="K9" i="2"/>
  <c r="K7" i="2"/>
  <c r="K15" i="2"/>
  <c r="K13" i="2"/>
  <c r="K2" i="2"/>
  <c r="K10" i="2"/>
  <c r="C5" i="2"/>
  <c r="C8" i="2"/>
  <c r="C3" i="2"/>
  <c r="C11" i="2"/>
  <c r="C4" i="2"/>
  <c r="C6" i="2"/>
  <c r="C14" i="2"/>
  <c r="C12" i="2"/>
  <c r="C9" i="2"/>
  <c r="C7" i="2"/>
  <c r="C15" i="2"/>
  <c r="C13" i="2"/>
  <c r="C2" i="2"/>
  <c r="C10" i="2"/>
  <c r="E7" i="2"/>
  <c r="E2" i="2"/>
  <c r="E10" i="2"/>
  <c r="E5" i="2"/>
  <c r="E13" i="2"/>
  <c r="E8" i="2"/>
  <c r="E6" i="2"/>
  <c r="E14" i="2"/>
  <c r="E3" i="2"/>
  <c r="E11" i="2"/>
  <c r="E9" i="2"/>
  <c r="E15" i="2"/>
  <c r="E4" i="2"/>
  <c r="E12" i="2"/>
  <c r="H6" i="2"/>
  <c r="H9" i="2"/>
  <c r="H13" i="2"/>
  <c r="H4" i="2"/>
  <c r="H12" i="2"/>
  <c r="H5" i="2"/>
  <c r="H7" i="2"/>
  <c r="H15" i="2"/>
  <c r="H2" i="2"/>
  <c r="H10" i="2"/>
  <c r="H8" i="2"/>
  <c r="H14" i="2"/>
  <c r="H3" i="2"/>
  <c r="H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tc={E275E024-37F4-427A-A9E5-686F9A36A0BF}</author>
    <author>tc={51387B21-7631-4C85-958B-E4308CDE9841}</author>
    <author>tc={E8D86E1A-C60B-4E8A-9A4E-88929F132FFB}</author>
    <author>tc={E8275E98-D0D6-4B54-A6EA-5E0EAEFA796C}</author>
    <author>tc={141B01F3-E276-4909-80A3-13E16CA9820E}</author>
    <author>tc={0F3C6FC5-6537-44E7-BA36-DB7A64D319DB}</author>
    <author>tc={6A3C25E3-775A-49D9-9688-CA611A25B7EE}</author>
    <author>tc={02071FAC-FE67-49E2-AD5B-D1B7D0170A47}</author>
    <author>tc={842BD5E2-7D7F-4C6F-ADB6-A035BA70EE48}</author>
  </authors>
  <commentList>
    <comment ref="B4" authorId="0" shapeId="0" xr:uid="{E275E024-37F4-427A-A9E5-686F9A36A0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UR Operacional</t>
      </text>
    </comment>
    <comment ref="C4" authorId="1" shapeId="0" xr:uid="{51387B21-7631-4C85-958B-E4308CDE98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Incluir Zona Insular</t>
      </text>
    </comment>
    <comment ref="B5" authorId="2" shapeId="0" xr:uid="{E8D86E1A-C60B-4E8A-9A4E-88929F132FF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Operacional
</t>
      </text>
    </comment>
    <comment ref="C5" authorId="3" shapeId="0" xr:uid="{E8275E98-D0D6-4B54-A6EA-5E0EAEFA79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es una limitación del sistema no un requerimiento del usuario</t>
      </text>
    </comment>
    <comment ref="B7" authorId="4" shapeId="0" xr:uid="{141B01F3-E276-4909-80A3-13E16CA9820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Operacional
</t>
      </text>
    </comment>
    <comment ref="C9" authorId="5" shapeId="0" xr:uid="{0F3C6FC5-6537-44E7-BA36-DB7A64D319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UR Operacional y es idéntico al UR-02. Sugiero combinar ambos en un solo UR</t>
      </text>
    </comment>
    <comment ref="B12" authorId="6" shapeId="0" xr:uid="{6A3C25E3-775A-49D9-9688-CA611A25B7E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UR Funcional
</t>
      </text>
    </comment>
    <comment ref="B14" authorId="7" shapeId="0" xr:uid="{02071FAC-FE67-49E2-AD5B-D1B7D0170A4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UR Operacional
</t>
      </text>
    </comment>
    <comment ref="B15" authorId="8" shapeId="0" xr:uid="{842BD5E2-7D7F-4C6F-ADB6-A035BA70EE4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UR Operacional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tc={6C298909-D3F0-42B7-B15A-B4783DEE4F99}</author>
    <author>tc={BBFCFD02-3B37-4A8A-BDEB-19E58362F067}</author>
    <author>tc={51DB569B-B5F4-45A8-B2B1-5B5E964555B8}</author>
    <author>tc={02A9B00C-9DF3-45C4-97D3-C09782AFBB46}</author>
    <author>tc={0EE65343-D450-4003-B797-F14CFA9B6713}</author>
    <author>tc={701127B3-B13C-4CC7-9A7D-85DFBD094889}</author>
    <author>tc={A4637A16-A96E-4421-92AE-91E5EC2DDA2F}</author>
    <author>tc={FACE8CA3-6CB3-4BF0-AB89-FBB3043EF150}</author>
    <author>tc={B5E4EBE0-6BE8-4940-9B65-8B4A151D98F1}</author>
    <author>tc={6E7C6063-2647-4F3E-88B1-0E4C0DEAE221}</author>
    <author>tc={FE7C0E02-1023-48D4-9C66-37051E086FBE}</author>
    <author>tc={34142E4B-275A-4780-B17F-D8BC7B59FC66}</author>
    <author>tc={67D893E8-FF0D-4111-B23D-E9198938F3AF}</author>
    <author>tc={7420A542-59AB-4CDF-B098-239FDFA35D9C}</author>
    <author>tc={85557E9C-406B-4CE7-8501-272ABB986357}</author>
    <author>tc={AA517164-7E08-45B6-B369-E0E8ABAA15AB}</author>
    <author>tc={A6D264DF-6DC5-4BBD-AF8D-5A6586DF7DA0}</author>
  </authors>
  <commentList>
    <comment ref="B3" authorId="0" shapeId="0" xr:uid="{6C298909-D3F0-42B7-B15A-B4783DEE4F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RF o Comunicaciones
</t>
      </text>
    </comment>
    <comment ref="B6" authorId="1" shapeId="0" xr:uid="{BBFCFD02-3B37-4A8A-BDEB-19E58362F06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Clasificar como funcional
</t>
      </text>
    </comment>
    <comment ref="B7" authorId="2" shapeId="0" xr:uid="{51DB569B-B5F4-45A8-B2B1-5B5E964555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FUNCIONAL
</t>
      </text>
    </comment>
    <comment ref="C7" authorId="3" shapeId="0" xr:uid="{02A9B00C-9DF3-45C4-97D3-C09782AFBB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SR funcional combinable con SR-01
</t>
      </text>
    </comment>
    <comment ref="B8" authorId="4" shapeId="0" xr:uid="{0EE65343-D450-4003-B797-F14CFA9B67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Funcional
</t>
      </text>
    </comment>
    <comment ref="B9" authorId="5" shapeId="0" xr:uid="{701127B3-B13C-4CC7-9A7D-85DFBD09488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Funcional
</t>
      </text>
    </comment>
    <comment ref="B10" authorId="6" shapeId="0" xr:uid="{A4637A16-A96E-4421-92AE-91E5EC2DDA2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Funcional
</t>
      </text>
    </comment>
    <comment ref="B11" authorId="7" shapeId="0" xr:uid="{FACE8CA3-6CB3-4BF0-AB89-FBB3043EF1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Analizar la utilización de solo una clasificación…..sugiero Comunicaciones</t>
      </text>
    </comment>
    <comment ref="B12" authorId="8" shapeId="0" xr:uid="{B5E4EBE0-6BE8-4940-9B65-8B4A151D98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Elegir entre funcional u operacional</t>
      </text>
    </comment>
    <comment ref="B13" authorId="9" shapeId="0" xr:uid="{6E7C6063-2647-4F3E-88B1-0E4C0DEAE2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Comunicaciones
</t>
      </text>
    </comment>
    <comment ref="B14" authorId="10" shapeId="0" xr:uid="{FE7C0E02-1023-48D4-9C66-37051E086FB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Operacional o funcional…..elegir
</t>
      </text>
    </comment>
    <comment ref="B16" authorId="11" shapeId="0" xr:uid="{34142E4B-275A-4780-B17F-D8BC7B59FC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Operacional</t>
      </text>
    </comment>
    <comment ref="B17" authorId="12" shapeId="0" xr:uid="{67D893E8-FF0D-4111-B23D-E9198938F3A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Operacional
</t>
      </text>
    </comment>
    <comment ref="B18" authorId="13" shapeId="0" xr:uid="{7420A542-59AB-4CDF-B098-239FDFA35D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Idem
</t>
      </text>
    </comment>
    <comment ref="B19" authorId="14" shapeId="0" xr:uid="{85557E9C-406B-4CE7-8501-272ABB98635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Idem
</t>
      </text>
    </comment>
    <comment ref="B20" authorId="15" shapeId="0" xr:uid="{AA517164-7E08-45B6-B369-E0E8ABAA15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Idem
</t>
      </text>
    </comment>
    <comment ref="B21" authorId="16" shapeId="0" xr:uid="{A6D264DF-6DC5-4BBD-AF8D-5A6586DF7D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idem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<sst xmlns="http://schemas.openxmlformats.org/spreadsheetml/2006/main" count="324" uniqueCount="170">
  <si>
    <t>ID</t>
  </si>
  <si>
    <t>Tipo</t>
  </si>
  <si>
    <t>Justificación</t>
  </si>
  <si>
    <t>Método de Verificación</t>
  </si>
  <si>
    <t>Estado</t>
  </si>
  <si>
    <t>Sistema completo</t>
  </si>
  <si>
    <t>Demostración en órbita</t>
  </si>
  <si>
    <t>Propuesto</t>
  </si>
  <si>
    <t>Inspección / Análisis</t>
  </si>
  <si>
    <t>Análisis</t>
  </si>
  <si>
    <t>Funcional</t>
  </si>
  <si>
    <t>Prueba funcional</t>
  </si>
  <si>
    <t>Implementar Store &amp; Forward</t>
  </si>
  <si>
    <t>Almacenamiento</t>
  </si>
  <si>
    <t>Comunicaciones</t>
  </si>
  <si>
    <t>Control centralizado</t>
  </si>
  <si>
    <t>Prueba de integración</t>
  </si>
  <si>
    <t>Monitoreo de salud</t>
  </si>
  <si>
    <t>Desempeño</t>
  </si>
  <si>
    <t>Inspección</t>
  </si>
  <si>
    <t>Potencia</t>
  </si>
  <si>
    <t>Interoperabilidad</t>
  </si>
  <si>
    <t>Revisión documental</t>
  </si>
  <si>
    <t>RF / Antena</t>
  </si>
  <si>
    <t>Interfaces</t>
  </si>
  <si>
    <t>Ambiental</t>
  </si>
  <si>
    <t>RF / Estructura</t>
  </si>
  <si>
    <t>Prueba EMC</t>
  </si>
  <si>
    <t>Integridad de datos</t>
  </si>
  <si>
    <t>Revisión de diseño</t>
  </si>
  <si>
    <t>Revisión de arquitectura</t>
  </si>
  <si>
    <t>Pruebas</t>
  </si>
  <si>
    <t>Reducción de riesgos</t>
  </si>
  <si>
    <t>UR-01</t>
  </si>
  <si>
    <t>UR-02</t>
  </si>
  <si>
    <t>UR-03</t>
  </si>
  <si>
    <t>UR-04</t>
  </si>
  <si>
    <t>UR-05</t>
  </si>
  <si>
    <t>UR-06</t>
  </si>
  <si>
    <t>UR-07</t>
  </si>
  <si>
    <t>UR-08</t>
  </si>
  <si>
    <t>UR-09</t>
  </si>
  <si>
    <t>UR-10</t>
  </si>
  <si>
    <t>UR-11</t>
  </si>
  <si>
    <t>UR-12</t>
  </si>
  <si>
    <t>UR-13</t>
  </si>
  <si>
    <t>UR-14</t>
  </si>
  <si>
    <t>El sistema debe ser validado mediante pruebas en tierra y en órbita.</t>
  </si>
  <si>
    <t>Descripción del Requerimiento</t>
  </si>
  <si>
    <t>Impacto / Alcance</t>
  </si>
  <si>
    <t>El sistema debe proveer un servicio Store &amp; Forward satelital para estaciones meteorológicas, sismológicas y sensores remotos.</t>
  </si>
  <si>
    <t>Permitir recopilación de datos en zonas aisladas</t>
  </si>
  <si>
    <t>Operacional</t>
  </si>
  <si>
    <t>El sistema debe operar desde un CubeSat clase 12U en órbita LEO.</t>
  </si>
  <si>
    <t>Compatibilidad con plataformas CubeSat</t>
  </si>
  <si>
    <t>Integración mecánica y eléctrica</t>
  </si>
  <si>
    <t>Cobertura</t>
  </si>
  <si>
    <t>El sistema debe cubrir territorio continental, zonas extremas y territorio antártico chileno.</t>
  </si>
  <si>
    <t>Necesidad nacional de conectividad</t>
  </si>
  <si>
    <t>Comunicaciones / Órbita</t>
  </si>
  <si>
    <t>Análisis / Demostración</t>
  </si>
  <si>
    <t>El sistema debe aceptar latencias del orden de horas entre transmisión y recepción final.</t>
  </si>
  <si>
    <t>Naturaleza Store &amp; Forward</t>
  </si>
  <si>
    <t>Operación del sistema</t>
  </si>
  <si>
    <t>El sistema debe almacenar y reenviar datos de múltiples estaciones remotas.</t>
  </si>
  <si>
    <t>Manejo de múltiples fuentes</t>
  </si>
  <si>
    <t>Almacenamiento y comunicaciones</t>
  </si>
  <si>
    <t>El sistema debe ser compatible con estaciones meteorológicas y sísmicas existentes.</t>
  </si>
  <si>
    <t>Uso de infraestructura actual</t>
  </si>
  <si>
    <t>Análisis / Prueba</t>
  </si>
  <si>
    <t>Regulatorio</t>
  </si>
  <si>
    <t>El sistema debe cumplir normativa nacional e internacional de espectro radioeléctrico.</t>
  </si>
  <si>
    <t>Uso legal del espectro</t>
  </si>
  <si>
    <t>RF / Comunicaciones</t>
  </si>
  <si>
    <t>Integración</t>
  </si>
  <si>
    <t>El sistema debe integrarse genéricamente con un CubeSat 12U, sin depender de un bus específico.</t>
  </si>
  <si>
    <t>Reutilización futura</t>
  </si>
  <si>
    <t>El sistema debe operar bajo control del OBC del satélite.</t>
  </si>
  <si>
    <t>Interfaces / Software</t>
  </si>
  <si>
    <t>Estratégico</t>
  </si>
  <si>
    <t>El sistema debe ser experimental con proyección a aplicaciones comerciales.</t>
  </si>
  <si>
    <t>Desarrollo tecnológico nacional</t>
  </si>
  <si>
    <t>Arquitectura</t>
  </si>
  <si>
    <t>El sistema debe ser modular, reutilizable y escalable.</t>
  </si>
  <si>
    <t>Futuras misiones / constelaciones</t>
  </si>
  <si>
    <t>Datos</t>
  </si>
  <si>
    <t>El sistema debe garantizar la integridad de los datos almacenados.</t>
  </si>
  <si>
    <t>Confiabilidad de la información</t>
  </si>
  <si>
    <t>Almacenamiento / Software</t>
  </si>
  <si>
    <t>Vida útil</t>
  </si>
  <si>
    <t>El sistema debe operar de forma sostenida durante la vida útil del satélite.</t>
  </si>
  <si>
    <t>Valor de misión</t>
  </si>
  <si>
    <t>Verificación</t>
  </si>
  <si>
    <t>Pruebas / Demostración</t>
  </si>
  <si>
    <t>SR-01</t>
  </si>
  <si>
    <t>El sistema debe implementar recepción, almacenamiento no volátil y reenvío de datos.</t>
  </si>
  <si>
    <t>Data / COM</t>
  </si>
  <si>
    <t>SR-02</t>
  </si>
  <si>
    <t>RF</t>
  </si>
  <si>
    <t>Compatibilidad regulatoria</t>
  </si>
  <si>
    <t>SR-03</t>
  </si>
  <si>
    <t>Simplicidad y compatibilidad</t>
  </si>
  <si>
    <t>COM</t>
  </si>
  <si>
    <t>SR-04</t>
  </si>
  <si>
    <t>El sistema debe utilizar modulación digital robusta (BPSK o QPSK).</t>
  </si>
  <si>
    <t>Robustez del enlace</t>
  </si>
  <si>
    <t>RF / COM</t>
  </si>
  <si>
    <t>SR-05</t>
  </si>
  <si>
    <t>Ventana limitada de contacto</t>
  </si>
  <si>
    <t>SR-06</t>
  </si>
  <si>
    <t>Multiplicidad de estaciones</t>
  </si>
  <si>
    <t>Data</t>
  </si>
  <si>
    <t>SR-07</t>
  </si>
  <si>
    <t>El sistema debe sobrescribir datos antiguos al alcanzar capacidad máxima.</t>
  </si>
  <si>
    <t>Operación continua</t>
  </si>
  <si>
    <t>SR-08</t>
  </si>
  <si>
    <t>Robustez</t>
  </si>
  <si>
    <t>El sistema debe preservar datos ante reinicios o fallos temporales.</t>
  </si>
  <si>
    <t>Data / SW</t>
  </si>
  <si>
    <t>SR-09</t>
  </si>
  <si>
    <t>El sistema debe comunicarse con el OBC mediante una única interfaz (TBD).</t>
  </si>
  <si>
    <t>Simplicidad de integración</t>
  </si>
  <si>
    <t>Prueba integración</t>
  </si>
  <si>
    <t>SR-10</t>
  </si>
  <si>
    <t>Telemetría</t>
  </si>
  <si>
    <t>El sistema debe reportar periódicamente su estado al OBC.</t>
  </si>
  <si>
    <t>SW / Interfaces</t>
  </si>
  <si>
    <t>SR-11</t>
  </si>
  <si>
    <t>El sistema debe operar coordinado con el ADCS del satélite.</t>
  </si>
  <si>
    <t>Apuntamiento terrestre</t>
  </si>
  <si>
    <t>COM / RF</t>
  </si>
  <si>
    <t>SR-12</t>
  </si>
  <si>
    <t>Antena</t>
  </si>
  <si>
    <t>El sistema debe ser compatible con una antena fija electrónicamente direccionable.</t>
  </si>
  <si>
    <t>Mejora de cobertura</t>
  </si>
  <si>
    <t>SR-13</t>
  </si>
  <si>
    <t>Energía</t>
  </si>
  <si>
    <t>El sistema debe consumir un máximo de 10 W en operación nominal.</t>
  </si>
  <si>
    <t>Presupuesto energético</t>
  </si>
  <si>
    <t>SR-14</t>
  </si>
  <si>
    <t>El sistema debe operar de forma reactiva o semi-continua según comandos del OBC.</t>
  </si>
  <si>
    <t>Optimización energética</t>
  </si>
  <si>
    <t>SW / COM</t>
  </si>
  <si>
    <t>SR-15</t>
  </si>
  <si>
    <t>El sistema debe usar componentes resilientes a radiación y tormentas solares.</t>
  </si>
  <si>
    <t>Ambiente LEO</t>
  </si>
  <si>
    <t>SR-16</t>
  </si>
  <si>
    <t>EMC</t>
  </si>
  <si>
    <t>El sistema no debe generar interferencia electromagnética a otros subsistemas.</t>
  </si>
  <si>
    <t>Compatibilidad satelital</t>
  </si>
  <si>
    <t>SR-17</t>
  </si>
  <si>
    <t>El sistema debe implementar mecanismos de integridad y control de acceso a datos.</t>
  </si>
  <si>
    <t>Protección de información</t>
  </si>
  <si>
    <t>SW</t>
  </si>
  <si>
    <t>SR-18</t>
  </si>
  <si>
    <t>Software</t>
  </si>
  <si>
    <t>Mantenibilidad</t>
  </si>
  <si>
    <t>SR-19</t>
  </si>
  <si>
    <t>El sistema debe diseñarse de forma modular y escalable.</t>
  </si>
  <si>
    <t>Revisión diseño</t>
  </si>
  <si>
    <t>SR-20</t>
  </si>
  <si>
    <t>El sistema debe ser completamente verificable en tierra y en órbita.</t>
  </si>
  <si>
    <t>Validación de misión</t>
  </si>
  <si>
    <t>El sistema debe soportar comunicación half-duplex o full-duplex con estaciones remotas.</t>
  </si>
  <si>
    <t>El sistema debe soportar tasas de datos suficientes para transmitir datos durante la ventana de contacto.</t>
  </si>
  <si>
    <t>El sistema debe disponer de almacenamiento no volátil para grandes volúmenes de información de múltiples estaciones.</t>
  </si>
  <si>
    <t>Columna1</t>
  </si>
  <si>
    <t>Columna2</t>
  </si>
  <si>
    <t>El sistema debe operar en una banda UHF permitida para ISM/meteorología en Chile (frecuencia TBD, 430MHz, 868MHz, 928MHz).</t>
  </si>
  <si>
    <t>El firmware del sistema debe ser actualizable.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</si>
</sst>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textRotation="90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textRotation="90"/>
    </xf>
    <xf numFmtId="0" fontId="0" fillId="3" borderId="1" xfId="0" applyFill="1" applyBorder="1"/>
  </cellXfs>
  <cellStyles count="1">
    <cellStyle name="Normal" xfId="0" builtinId="0"/>
  </cellStyles>
  <dxfs count="23">
    <dxf>
      <fill>
        <patternFill>
          <bgColor theme="9" tint="0.79998168889431442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AN SEPÚLVEDA" id="{36B62CA2-7D2F-498B-BC32-41B56DF28CAF}" userId="044073929bd75ab2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98EF0-3858-453F-9F9A-A07F55C32A1E}" name="Tabla_UR" displayName="Tabla_UR" ref="A1:G15" totalsRowShown="0" headerRowDxfId="22" dataDxfId="21">
  <autoFilter ref="A1:G15" xr:uid="{97C98EF0-3858-453F-9F9A-A07F55C32A1E}"/>
  <tableColumns count="7">
    <tableColumn id="1" xr3:uid="{9DA971DD-1D5B-41CD-BAEB-EAF0257EAB52}" name="ID" dataDxfId="20"/>
    <tableColumn id="2" xr3:uid="{BB9FC176-474D-4CBC-8CE6-6EDA5F9BEC73}" name="Tipo" dataDxfId="19"/>
    <tableColumn id="3" xr3:uid="{733FEF08-30C9-4542-95A8-75CCE4D3A7D0}" name="Descripción del Requerimiento" dataDxfId="18"/>
    <tableColumn id="5" xr3:uid="{353FE02A-A8C2-4596-8D92-5B40106EA478}" name="Justificación" dataDxfId="17"/>
    <tableColumn id="6" xr3:uid="{9E929A74-4928-4FA7-BB11-A78F44287A05}" name="Impacto / Alcance" dataDxfId="16"/>
    <tableColumn id="7" xr3:uid="{4214A95E-A516-4DD8-A0C4-2A153232C07F}" name="Método de Verificación" dataDxfId="15"/>
    <tableColumn id="8" xr3:uid="{8963FEAC-3B2C-4B07-8268-11B965A523CD}" name="Estado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F8188-A8F4-4D32-94CE-EC6F3DD4A9CB}" name="Tabla_SR" displayName="Tabla_SR" ref="A1:G21" totalsRowShown="0" headerRowDxfId="13" dataDxfId="12">
  <autoFilter ref="A1:G21" xr:uid="{97C98EF0-3858-453F-9F9A-A07F55C32A1E}"/>
  <tableColumns count="7">
    <tableColumn id="1" xr3:uid="{9B26BE5A-394B-4698-999A-AFBA858BF34D}" name="ID" dataDxfId="11"/>
    <tableColumn id="2" xr3:uid="{1F8C1EF1-FA6C-4618-937F-3C62E2CB8B6D}" name="Tipo" dataDxfId="10"/>
    <tableColumn id="3" xr3:uid="{A1EF9B25-D677-45EE-A5DE-C49B0ED6F089}" name="Descripción del Requerimiento" dataDxfId="9"/>
    <tableColumn id="5" xr3:uid="{AB0A45C5-88E4-4EE7-B65C-4A77B6F94633}" name="Justificación" dataDxfId="8"/>
    <tableColumn id="6" xr3:uid="{D1DD3C7F-439A-44A5-9523-C64E33ADF047}" name="Impacto / Alcance" dataDxfId="7"/>
    <tableColumn id="7" xr3:uid="{2F6AB778-3C57-4553-A29B-677E45D1BDED}" name="Método de Verificación" dataDxfId="6"/>
    <tableColumn id="8" xr3:uid="{E90B6E66-C38F-469F-BCBA-09A8604000EB}" name="Estado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DE19A9-1C1B-4D33-9D96-CE5D2E77C48F}" name="Tabla_TUS" displayName="Tabla_TUS" ref="A1:B36" totalsRowShown="0" headerRowDxfId="4" dataDxfId="3">
  <autoFilter ref="A1:B36" xr:uid="{BDDE19A9-1C1B-4D33-9D96-CE5D2E77C48F}"/>
  <tableColumns count="2">
    <tableColumn id="1" xr3:uid="{E5E494CE-E699-47F2-A47D-8D4F736A86A2}" name="Columna1" dataDxfId="2"/>
    <tableColumn id="2" xr3:uid="{32387B3C-59B5-4688-B8E2-C15526A3EB89}" name="Columna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1-08T18:41:54.64" personId="{36B62CA2-7D2F-498B-BC32-41B56DF28CAF}" id="{E275E024-37F4-427A-A9E5-686F9A36A0BF}">
    <text>UR Operacional</text>
  </threadedComment>
  <threadedComment ref="C4" dT="2026-01-08T18:37:07.12" personId="{36B62CA2-7D2F-498B-BC32-41B56DF28CAF}" id="{51387B21-7631-4C85-958B-E4308CDE9841}">
    <text>Incluir Zona Insular</text>
  </threadedComment>
  <threadedComment ref="B5" dT="2026-01-08T18:38:22.19" personId="{36B62CA2-7D2F-498B-BC32-41B56DF28CAF}" id="{E8D86E1A-C60B-4E8A-9A4E-88929F132FFB}">
    <text xml:space="preserve">Operacional
</text>
  </threadedComment>
  <threadedComment ref="C5" dT="2026-01-08T18:38:07.52" personId="{36B62CA2-7D2F-498B-BC32-41B56DF28CAF}" id="{E8275E98-D0D6-4B54-A6EA-5E0EAEFA796C}">
    <text>Este es una limitación del sistema no un requerimiento del usuario</text>
  </threadedComment>
  <threadedComment ref="B7" dT="2026-01-08T18:38:38.87" personId="{36B62CA2-7D2F-498B-BC32-41B56DF28CAF}" id="{141B01F3-E276-4909-80A3-13E16CA9820E}">
    <text xml:space="preserve">Operacional
</text>
  </threadedComment>
  <threadedComment ref="C9" dT="2026-01-08T18:40:05.45" personId="{36B62CA2-7D2F-498B-BC32-41B56DF28CAF}" id="{0F3C6FC5-6537-44E7-BA36-DB7A64D319DB}">
    <text>UR Operacional y es idéntico al UR-02. Sugiero combinar ambos en un solo UR</text>
  </threadedComment>
  <threadedComment ref="B12" dT="2026-01-08T18:40:44.90" personId="{36B62CA2-7D2F-498B-BC32-41B56DF28CAF}" id="{6A3C25E3-775A-49D9-9688-CA611A25B7EE}">
    <text xml:space="preserve">UR Funcional
</text>
  </threadedComment>
  <threadedComment ref="B14" dT="2026-01-08T18:41:10.39" personId="{36B62CA2-7D2F-498B-BC32-41B56DF28CAF}" id="{02071FAC-FE67-49E2-AD5B-D1B7D0170A47}">
    <text xml:space="preserve">UR Operacional
</text>
  </threadedComment>
  <threadedComment ref="B15" dT="2026-01-08T18:41:44.05" personId="{36B62CA2-7D2F-498B-BC32-41B56DF28CAF}" id="{842BD5E2-7D7F-4C6F-ADB6-A035BA70EE48}">
    <text xml:space="preserve">UR Operacional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6-01-08T18:47:13.90" personId="{36B62CA2-7D2F-498B-BC32-41B56DF28CAF}" id="{6C298909-D3F0-42B7-B15A-B4783DEE4F99}">
    <text xml:space="preserve">RF o Comunicaciones
</text>
  </threadedComment>
  <threadedComment ref="B6" dT="2026-01-08T18:43:07.85" personId="{36B62CA2-7D2F-498B-BC32-41B56DF28CAF}" id="{BBFCFD02-3B37-4A8A-BDEB-19E58362F067}">
    <text xml:space="preserve">Clasificar como funcional
</text>
  </threadedComment>
  <threadedComment ref="B7" dT="2026-01-08T18:44:05.12" personId="{36B62CA2-7D2F-498B-BC32-41B56DF28CAF}" id="{51DB569B-B5F4-45A8-B2B1-5B5E964555B8}">
    <text xml:space="preserve">FUNCIONAL
</text>
  </threadedComment>
  <threadedComment ref="C7" dT="2026-01-08T18:43:45.91" personId="{36B62CA2-7D2F-498B-BC32-41B56DF28CAF}" id="{02A9B00C-9DF3-45C4-97D3-C09782AFBB46}">
    <text xml:space="preserve">SR funcional combinable con SR-01
</text>
  </threadedComment>
  <threadedComment ref="B8" dT="2026-01-08T18:44:23.47" personId="{36B62CA2-7D2F-498B-BC32-41B56DF28CAF}" id="{0EE65343-D450-4003-B797-F14CFA9B6713}">
    <text xml:space="preserve">Funcional
</text>
  </threadedComment>
  <threadedComment ref="B9" dT="2026-01-08T18:44:37.11" personId="{36B62CA2-7D2F-498B-BC32-41B56DF28CAF}" id="{701127B3-B13C-4CC7-9A7D-85DFBD094889}">
    <text xml:space="preserve">Funcional
</text>
  </threadedComment>
  <threadedComment ref="B10" dT="2026-01-08T18:45:06.31" personId="{36B62CA2-7D2F-498B-BC32-41B56DF28CAF}" id="{A4637A16-A96E-4421-92AE-91E5EC2DDA2F}">
    <text xml:space="preserve">Funcional
</text>
  </threadedComment>
  <threadedComment ref="B11" dT="2026-01-08T18:45:57.45" personId="{36B62CA2-7D2F-498B-BC32-41B56DF28CAF}" id="{FACE8CA3-6CB3-4BF0-AB89-FBB3043EF150}">
    <text>Analizar la utilización de solo una clasificación…..sugiero Comunicaciones</text>
  </threadedComment>
  <threadedComment ref="B12" dT="2026-01-08T18:46:35.45" personId="{36B62CA2-7D2F-498B-BC32-41B56DF28CAF}" id="{B5E4EBE0-6BE8-4940-9B65-8B4A151D98F1}">
    <text>Elegir entre funcional u operacional</text>
  </threadedComment>
  <threadedComment ref="B13" dT="2026-01-08T18:46:52.64" personId="{36B62CA2-7D2F-498B-BC32-41B56DF28CAF}" id="{6E7C6063-2647-4F3E-88B1-0E4C0DEAE221}">
    <text xml:space="preserve">Comunicaciones
</text>
  </threadedComment>
  <threadedComment ref="B14" dT="2026-01-08T18:47:48.65" personId="{36B62CA2-7D2F-498B-BC32-41B56DF28CAF}" id="{FE7C0E02-1023-48D4-9C66-37051E086FBE}">
    <text xml:space="preserve">Operacional o funcional…..elegir
</text>
  </threadedComment>
  <threadedComment ref="B16" dT="2026-01-08T18:47:57.88" personId="{36B62CA2-7D2F-498B-BC32-41B56DF28CAF}" id="{34142E4B-275A-4780-B17F-D8BC7B59FC66}">
    <text>Operacional</text>
  </threadedComment>
  <threadedComment ref="B17" dT="2026-01-08T18:48:07.72" personId="{36B62CA2-7D2F-498B-BC32-41B56DF28CAF}" id="{67D893E8-FF0D-4111-B23D-E9198938F3AF}">
    <text xml:space="preserve">Operacional
</text>
  </threadedComment>
  <threadedComment ref="B18" dT="2026-01-08T18:48:18.07" personId="{36B62CA2-7D2F-498B-BC32-41B56DF28CAF}" id="{7420A542-59AB-4CDF-B098-239FDFA35D9C}">
    <text xml:space="preserve">Idem
</text>
  </threadedComment>
  <threadedComment ref="B19" dT="2026-01-08T18:48:26.69" personId="{36B62CA2-7D2F-498B-BC32-41B56DF28CAF}" id="{85557E9C-406B-4CE7-8501-272ABB986357}">
    <text xml:space="preserve">Idem
</text>
  </threadedComment>
  <threadedComment ref="B20" dT="2026-01-08T18:48:36.17" personId="{36B62CA2-7D2F-498B-BC32-41B56DF28CAF}" id="{AA517164-7E08-45B6-B369-E0E8ABAA15AB}">
    <text xml:space="preserve">Idem
</text>
  </threadedComment>
  <threadedComment ref="B21" dT="2026-01-08T18:48:43.72" personId="{36B62CA2-7D2F-498B-BC32-41B56DF28CAF}" id="{A6D264DF-6DC5-4BBD-AF8D-5A6586DF7DA0}">
    <text>idem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20D4-0368-4735-8685-CAA70A5723E4}">
  <dimension ref="A1:G39"/>
  <sheetViews>
    <sheetView topLeftCell="A9" zoomScaleNormal="100" workbookViewId="0">
      <selection activeCell="C6" sqref="C6"/>
    </sheetView>
  </sheetViews>
  <sheetFormatPr baseColWidth="10" defaultRowHeight="14.4" x14ac:dyDescent="0.3"/>
  <cols>
    <col min="1" max="1" width="10.88671875" customWidth="1"/>
    <col min="2" max="2" width="15.77734375" bestFit="1" customWidth="1"/>
    <col min="3" max="3" width="32.77734375" customWidth="1"/>
    <col min="4" max="4" width="21.77734375" customWidth="1"/>
    <col min="5" max="5" width="26" customWidth="1"/>
    <col min="6" max="6" width="22.21875" customWidth="1"/>
  </cols>
  <sheetData>
    <row r="1" spans="1:7" x14ac:dyDescent="0.3">
      <c r="A1" s="1" t="s">
        <v>0</v>
      </c>
      <c r="B1" s="1" t="s">
        <v>1</v>
      </c>
      <c r="C1" s="1" t="s">
        <v>48</v>
      </c>
      <c r="D1" s="1" t="s">
        <v>2</v>
      </c>
      <c r="E1" s="1" t="s">
        <v>49</v>
      </c>
      <c r="F1" s="1" t="s">
        <v>3</v>
      </c>
      <c r="G1" s="1" t="s">
        <v>4</v>
      </c>
    </row>
    <row r="2" spans="1:7" ht="57.6" x14ac:dyDescent="0.3">
      <c r="A2" s="2" t="s">
        <v>33</v>
      </c>
      <c r="B2" s="2" t="s">
        <v>10</v>
      </c>
      <c r="C2" s="2" t="s">
        <v>50</v>
      </c>
      <c r="D2" s="2" t="s">
        <v>51</v>
      </c>
      <c r="E2" s="2" t="s">
        <v>5</v>
      </c>
      <c r="F2" s="2" t="s">
        <v>6</v>
      </c>
      <c r="G2" s="2" t="s">
        <v>7</v>
      </c>
    </row>
    <row r="3" spans="1:7" ht="28.8" x14ac:dyDescent="0.3">
      <c r="A3" s="2" t="s">
        <v>34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8</v>
      </c>
      <c r="G3" s="2" t="s">
        <v>7</v>
      </c>
    </row>
    <row r="4" spans="1:7" ht="43.5" customHeight="1" x14ac:dyDescent="0.3">
      <c r="A4" s="2" t="s">
        <v>35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7</v>
      </c>
    </row>
    <row r="5" spans="1:7" ht="43.2" x14ac:dyDescent="0.3">
      <c r="A5" s="2" t="s">
        <v>36</v>
      </c>
      <c r="B5" s="2" t="s">
        <v>18</v>
      </c>
      <c r="C5" s="2" t="s">
        <v>61</v>
      </c>
      <c r="D5" s="2" t="s">
        <v>62</v>
      </c>
      <c r="E5" s="2" t="s">
        <v>63</v>
      </c>
      <c r="F5" s="2" t="s">
        <v>9</v>
      </c>
      <c r="G5" s="2" t="s">
        <v>7</v>
      </c>
    </row>
    <row r="6" spans="1:7" ht="43.5" customHeight="1" x14ac:dyDescent="0.3">
      <c r="A6" s="2" t="s">
        <v>37</v>
      </c>
      <c r="B6" s="2" t="s">
        <v>10</v>
      </c>
      <c r="C6" s="2" t="s">
        <v>64</v>
      </c>
      <c r="D6" s="2" t="s">
        <v>65</v>
      </c>
      <c r="E6" s="2" t="s">
        <v>66</v>
      </c>
      <c r="F6" s="2" t="s">
        <v>11</v>
      </c>
      <c r="G6" s="2" t="s">
        <v>7</v>
      </c>
    </row>
    <row r="7" spans="1:7" ht="43.5" customHeight="1" x14ac:dyDescent="0.3">
      <c r="A7" s="2" t="s">
        <v>38</v>
      </c>
      <c r="B7" s="2" t="s">
        <v>21</v>
      </c>
      <c r="C7" s="2" t="s">
        <v>67</v>
      </c>
      <c r="D7" s="2" t="s">
        <v>68</v>
      </c>
      <c r="E7" s="2" t="s">
        <v>14</v>
      </c>
      <c r="F7" s="2" t="s">
        <v>69</v>
      </c>
      <c r="G7" s="2" t="s">
        <v>7</v>
      </c>
    </row>
    <row r="8" spans="1:7" ht="43.2" x14ac:dyDescent="0.3">
      <c r="A8" s="2" t="s">
        <v>39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22</v>
      </c>
      <c r="G8" s="2" t="s">
        <v>7</v>
      </c>
    </row>
    <row r="9" spans="1:7" ht="43.2" x14ac:dyDescent="0.3">
      <c r="A9" s="2" t="s">
        <v>40</v>
      </c>
      <c r="B9" s="2" t="s">
        <v>74</v>
      </c>
      <c r="C9" s="2" t="s">
        <v>75</v>
      </c>
      <c r="D9" s="2" t="s">
        <v>76</v>
      </c>
      <c r="E9" s="2" t="s">
        <v>24</v>
      </c>
      <c r="F9" s="2" t="s">
        <v>19</v>
      </c>
      <c r="G9" s="2" t="s">
        <v>7</v>
      </c>
    </row>
    <row r="10" spans="1:7" ht="28.8" x14ac:dyDescent="0.3">
      <c r="A10" s="2" t="s">
        <v>41</v>
      </c>
      <c r="B10" s="2" t="s">
        <v>52</v>
      </c>
      <c r="C10" s="2" t="s">
        <v>77</v>
      </c>
      <c r="D10" s="2" t="s">
        <v>15</v>
      </c>
      <c r="E10" s="2" t="s">
        <v>78</v>
      </c>
      <c r="F10" s="2" t="s">
        <v>16</v>
      </c>
      <c r="G10" s="2" t="s">
        <v>7</v>
      </c>
    </row>
    <row r="11" spans="1:7" ht="43.2" x14ac:dyDescent="0.3">
      <c r="A11" s="2" t="s">
        <v>42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29</v>
      </c>
      <c r="G11" s="2" t="s">
        <v>7</v>
      </c>
    </row>
    <row r="12" spans="1:7" ht="28.8" x14ac:dyDescent="0.3">
      <c r="A12" s="2" t="s">
        <v>43</v>
      </c>
      <c r="B12" s="2" t="s">
        <v>82</v>
      </c>
      <c r="C12" s="2" t="s">
        <v>83</v>
      </c>
      <c r="D12" s="2" t="s">
        <v>84</v>
      </c>
      <c r="E12" s="2" t="s">
        <v>5</v>
      </c>
      <c r="F12" s="2" t="s">
        <v>30</v>
      </c>
      <c r="G12" s="2" t="s">
        <v>7</v>
      </c>
    </row>
    <row r="13" spans="1:7" ht="28.8" x14ac:dyDescent="0.3">
      <c r="A13" s="2" t="s">
        <v>44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11</v>
      </c>
      <c r="G13" s="2" t="s">
        <v>7</v>
      </c>
    </row>
    <row r="14" spans="1:7" ht="43.2" x14ac:dyDescent="0.3">
      <c r="A14" s="2" t="s">
        <v>45</v>
      </c>
      <c r="B14" s="2" t="s">
        <v>89</v>
      </c>
      <c r="C14" s="2" t="s">
        <v>90</v>
      </c>
      <c r="D14" s="2" t="s">
        <v>91</v>
      </c>
      <c r="E14" s="2" t="s">
        <v>5</v>
      </c>
      <c r="F14" s="2" t="s">
        <v>9</v>
      </c>
      <c r="G14" s="2" t="s">
        <v>7</v>
      </c>
    </row>
    <row r="15" spans="1:7" ht="28.8" x14ac:dyDescent="0.3">
      <c r="A15" s="2" t="s">
        <v>46</v>
      </c>
      <c r="B15" s="2" t="s">
        <v>92</v>
      </c>
      <c r="C15" s="2" t="s">
        <v>47</v>
      </c>
      <c r="D15" s="2" t="s">
        <v>32</v>
      </c>
      <c r="E15" s="2" t="s">
        <v>5</v>
      </c>
      <c r="F15" s="2" t="s">
        <v>93</v>
      </c>
      <c r="G15" s="2" t="s">
        <v>7</v>
      </c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D52B-CD2C-489F-B99A-26CA0D77ED0C}">
  <dimension ref="A1:G57"/>
  <sheetViews>
    <sheetView tabSelected="1" topLeftCell="A4" zoomScaleNormal="100" workbookViewId="0">
      <selection activeCell="F18" sqref="F18"/>
    </sheetView>
  </sheetViews>
  <sheetFormatPr baseColWidth="10" defaultRowHeight="14.4" x14ac:dyDescent="0.3"/>
  <cols>
    <col min="1" max="1" width="10.88671875" customWidth="1"/>
    <col min="2" max="2" width="15.77734375" bestFit="1" customWidth="1"/>
    <col min="3" max="3" width="32.77734375" customWidth="1"/>
    <col min="4" max="4" width="21.77734375" customWidth="1"/>
    <col min="5" max="5" width="26" customWidth="1"/>
    <col min="6" max="6" width="22.21875" customWidth="1"/>
  </cols>
  <sheetData>
    <row r="1" spans="1:7" x14ac:dyDescent="0.3">
      <c r="A1" s="1" t="s">
        <v>0</v>
      </c>
      <c r="B1" s="1" t="s">
        <v>1</v>
      </c>
      <c r="C1" s="1" t="s">
        <v>48</v>
      </c>
      <c r="D1" s="1" t="s">
        <v>2</v>
      </c>
      <c r="E1" s="1" t="s">
        <v>49</v>
      </c>
      <c r="F1" s="1" t="s">
        <v>3</v>
      </c>
      <c r="G1" s="1" t="s">
        <v>4</v>
      </c>
    </row>
    <row r="2" spans="1:7" ht="43.2" x14ac:dyDescent="0.3">
      <c r="A2" s="2" t="s">
        <v>94</v>
      </c>
      <c r="B2" s="2" t="s">
        <v>10</v>
      </c>
      <c r="C2" s="2" t="s">
        <v>95</v>
      </c>
      <c r="D2" s="2" t="s">
        <v>12</v>
      </c>
      <c r="E2" s="2" t="s">
        <v>96</v>
      </c>
      <c r="F2" s="2" t="s">
        <v>11</v>
      </c>
      <c r="G2" s="2" t="s">
        <v>7</v>
      </c>
    </row>
    <row r="3" spans="1:7" ht="57.6" x14ac:dyDescent="0.3">
      <c r="A3" s="2" t="s">
        <v>97</v>
      </c>
      <c r="B3" s="2" t="s">
        <v>98</v>
      </c>
      <c r="C3" s="2" t="s">
        <v>168</v>
      </c>
      <c r="D3" s="2" t="s">
        <v>99</v>
      </c>
      <c r="E3" s="2" t="s">
        <v>98</v>
      </c>
      <c r="F3" s="2" t="s">
        <v>9</v>
      </c>
      <c r="G3" s="2" t="s">
        <v>7</v>
      </c>
    </row>
    <row r="4" spans="1:7" ht="43.5" customHeight="1" x14ac:dyDescent="0.3">
      <c r="A4" s="2" t="s">
        <v>100</v>
      </c>
      <c r="B4" s="2" t="s">
        <v>14</v>
      </c>
      <c r="C4" s="2" t="s">
        <v>163</v>
      </c>
      <c r="D4" s="2" t="s">
        <v>101</v>
      </c>
      <c r="E4" s="2" t="s">
        <v>102</v>
      </c>
      <c r="F4" s="2" t="s">
        <v>11</v>
      </c>
      <c r="G4" s="2" t="s">
        <v>7</v>
      </c>
    </row>
    <row r="5" spans="1:7" ht="28.8" x14ac:dyDescent="0.3">
      <c r="A5" s="2" t="s">
        <v>103</v>
      </c>
      <c r="B5" s="2" t="s">
        <v>14</v>
      </c>
      <c r="C5" s="2" t="s">
        <v>104</v>
      </c>
      <c r="D5" s="2" t="s">
        <v>105</v>
      </c>
      <c r="E5" s="2" t="s">
        <v>106</v>
      </c>
      <c r="F5" s="2" t="s">
        <v>9</v>
      </c>
      <c r="G5" s="2" t="s">
        <v>7</v>
      </c>
    </row>
    <row r="6" spans="1:7" ht="43.5" customHeight="1" x14ac:dyDescent="0.3">
      <c r="A6" s="2" t="s">
        <v>107</v>
      </c>
      <c r="B6" s="2" t="s">
        <v>18</v>
      </c>
      <c r="C6" s="2" t="s">
        <v>164</v>
      </c>
      <c r="D6" s="2" t="s">
        <v>108</v>
      </c>
      <c r="E6" s="2" t="s">
        <v>102</v>
      </c>
      <c r="F6" s="2" t="s">
        <v>9</v>
      </c>
      <c r="G6" s="2" t="s">
        <v>7</v>
      </c>
    </row>
    <row r="7" spans="1:7" ht="57.6" x14ac:dyDescent="0.3">
      <c r="A7" s="2" t="s">
        <v>109</v>
      </c>
      <c r="B7" s="2" t="s">
        <v>13</v>
      </c>
      <c r="C7" s="2" t="s">
        <v>165</v>
      </c>
      <c r="D7" s="2" t="s">
        <v>110</v>
      </c>
      <c r="E7" s="2" t="s">
        <v>111</v>
      </c>
      <c r="F7" s="2" t="s">
        <v>11</v>
      </c>
      <c r="G7" s="2" t="s">
        <v>7</v>
      </c>
    </row>
    <row r="8" spans="1:7" ht="43.2" x14ac:dyDescent="0.3">
      <c r="A8" s="2" t="s">
        <v>112</v>
      </c>
      <c r="B8" s="2" t="s">
        <v>13</v>
      </c>
      <c r="C8" s="2" t="s">
        <v>113</v>
      </c>
      <c r="D8" s="2" t="s">
        <v>114</v>
      </c>
      <c r="E8" s="2" t="s">
        <v>111</v>
      </c>
      <c r="F8" s="2" t="s">
        <v>11</v>
      </c>
      <c r="G8" s="2" t="s">
        <v>7</v>
      </c>
    </row>
    <row r="9" spans="1:7" ht="28.8" x14ac:dyDescent="0.3">
      <c r="A9" s="2" t="s">
        <v>115</v>
      </c>
      <c r="B9" s="2" t="s">
        <v>116</v>
      </c>
      <c r="C9" s="2" t="s">
        <v>117</v>
      </c>
      <c r="D9" s="2" t="s">
        <v>28</v>
      </c>
      <c r="E9" s="2" t="s">
        <v>118</v>
      </c>
      <c r="F9" s="2" t="s">
        <v>11</v>
      </c>
      <c r="G9" s="2" t="s">
        <v>7</v>
      </c>
    </row>
    <row r="10" spans="1:7" ht="43.2" x14ac:dyDescent="0.3">
      <c r="A10" s="2" t="s">
        <v>119</v>
      </c>
      <c r="B10" s="2" t="s">
        <v>24</v>
      </c>
      <c r="C10" s="2" t="s">
        <v>120</v>
      </c>
      <c r="D10" s="2" t="s">
        <v>121</v>
      </c>
      <c r="E10" s="2" t="s">
        <v>24</v>
      </c>
      <c r="F10" s="2" t="s">
        <v>122</v>
      </c>
      <c r="G10" s="2" t="s">
        <v>7</v>
      </c>
    </row>
    <row r="11" spans="1:7" ht="28.8" x14ac:dyDescent="0.3">
      <c r="A11" s="2" t="s">
        <v>123</v>
      </c>
      <c r="B11" s="2" t="s">
        <v>124</v>
      </c>
      <c r="C11" s="2" t="s">
        <v>125</v>
      </c>
      <c r="D11" s="2" t="s">
        <v>17</v>
      </c>
      <c r="E11" s="2" t="s">
        <v>126</v>
      </c>
      <c r="F11" s="2" t="s">
        <v>11</v>
      </c>
      <c r="G11" s="2" t="s">
        <v>7</v>
      </c>
    </row>
    <row r="12" spans="1:7" ht="28.8" x14ac:dyDescent="0.3">
      <c r="A12" s="2" t="s">
        <v>127</v>
      </c>
      <c r="B12" s="2" t="s">
        <v>52</v>
      </c>
      <c r="C12" s="2" t="s">
        <v>128</v>
      </c>
      <c r="D12" s="2" t="s">
        <v>129</v>
      </c>
      <c r="E12" s="2" t="s">
        <v>130</v>
      </c>
      <c r="F12" s="2" t="s">
        <v>9</v>
      </c>
      <c r="G12" s="2" t="s">
        <v>7</v>
      </c>
    </row>
    <row r="13" spans="1:7" ht="43.2" x14ac:dyDescent="0.3">
      <c r="A13" s="2" t="s">
        <v>131</v>
      </c>
      <c r="B13" s="2" t="s">
        <v>132</v>
      </c>
      <c r="C13" s="2" t="s">
        <v>133</v>
      </c>
      <c r="D13" s="2" t="s">
        <v>134</v>
      </c>
      <c r="E13" s="2" t="s">
        <v>23</v>
      </c>
      <c r="F13" s="2" t="s">
        <v>19</v>
      </c>
      <c r="G13" s="2" t="s">
        <v>7</v>
      </c>
    </row>
    <row r="14" spans="1:7" ht="28.8" x14ac:dyDescent="0.3">
      <c r="A14" s="2" t="s">
        <v>135</v>
      </c>
      <c r="B14" s="2" t="s">
        <v>136</v>
      </c>
      <c r="C14" s="2" t="s">
        <v>137</v>
      </c>
      <c r="D14" s="2" t="s">
        <v>138</v>
      </c>
      <c r="E14" s="2" t="s">
        <v>20</v>
      </c>
      <c r="F14" s="2" t="s">
        <v>9</v>
      </c>
      <c r="G14" s="2" t="s">
        <v>7</v>
      </c>
    </row>
    <row r="15" spans="1:7" ht="43.2" x14ac:dyDescent="0.3">
      <c r="A15" s="2" t="s">
        <v>139</v>
      </c>
      <c r="B15" s="2" t="s">
        <v>52</v>
      </c>
      <c r="C15" s="2" t="s">
        <v>140</v>
      </c>
      <c r="D15" s="2" t="s">
        <v>141</v>
      </c>
      <c r="E15" s="2" t="s">
        <v>142</v>
      </c>
      <c r="F15" s="2" t="s">
        <v>9</v>
      </c>
      <c r="G15" s="2" t="s">
        <v>7</v>
      </c>
    </row>
    <row r="16" spans="1:7" ht="43.2" x14ac:dyDescent="0.3">
      <c r="A16" s="2" t="s">
        <v>143</v>
      </c>
      <c r="B16" s="2" t="s">
        <v>25</v>
      </c>
      <c r="C16" s="2" t="s">
        <v>144</v>
      </c>
      <c r="D16" s="2" t="s">
        <v>145</v>
      </c>
      <c r="E16" s="2" t="s">
        <v>5</v>
      </c>
      <c r="F16" s="2" t="s">
        <v>9</v>
      </c>
      <c r="G16" s="2" t="s">
        <v>7</v>
      </c>
    </row>
    <row r="17" spans="1:7" ht="43.2" x14ac:dyDescent="0.3">
      <c r="A17" s="2" t="s">
        <v>146</v>
      </c>
      <c r="B17" s="2" t="s">
        <v>147</v>
      </c>
      <c r="C17" s="2" t="s">
        <v>148</v>
      </c>
      <c r="D17" s="2" t="s">
        <v>149</v>
      </c>
      <c r="E17" s="2" t="s">
        <v>26</v>
      </c>
      <c r="F17" s="2" t="s">
        <v>27</v>
      </c>
      <c r="G17" s="2" t="s">
        <v>7</v>
      </c>
    </row>
    <row r="18" spans="1:7" ht="43.2" x14ac:dyDescent="0.3">
      <c r="A18" s="2" t="s">
        <v>150</v>
      </c>
      <c r="B18" s="2" t="s">
        <v>85</v>
      </c>
      <c r="C18" s="2" t="s">
        <v>151</v>
      </c>
      <c r="D18" s="2" t="s">
        <v>152</v>
      </c>
      <c r="E18" s="2" t="s">
        <v>153</v>
      </c>
      <c r="F18" s="2" t="s">
        <v>11</v>
      </c>
      <c r="G18" s="2" t="s">
        <v>7</v>
      </c>
    </row>
    <row r="19" spans="1:7" ht="28.8" x14ac:dyDescent="0.3">
      <c r="A19" s="2" t="s">
        <v>154</v>
      </c>
      <c r="B19" s="2" t="s">
        <v>155</v>
      </c>
      <c r="C19" s="2" t="s">
        <v>169</v>
      </c>
      <c r="D19" s="2" t="s">
        <v>156</v>
      </c>
      <c r="E19" s="2" t="s">
        <v>126</v>
      </c>
      <c r="F19" s="2" t="s">
        <v>11</v>
      </c>
      <c r="G19" s="2" t="s">
        <v>7</v>
      </c>
    </row>
    <row r="20" spans="1:7" ht="28.8" x14ac:dyDescent="0.3">
      <c r="A20" s="2" t="s">
        <v>157</v>
      </c>
      <c r="B20" s="2" t="s">
        <v>82</v>
      </c>
      <c r="C20" s="2" t="s">
        <v>158</v>
      </c>
      <c r="D20" s="2" t="s">
        <v>76</v>
      </c>
      <c r="E20" s="2" t="s">
        <v>5</v>
      </c>
      <c r="F20" s="2" t="s">
        <v>159</v>
      </c>
      <c r="G20" s="2" t="s">
        <v>7</v>
      </c>
    </row>
    <row r="21" spans="1:7" ht="28.8" x14ac:dyDescent="0.3">
      <c r="A21" s="2" t="s">
        <v>160</v>
      </c>
      <c r="B21" s="2" t="s">
        <v>92</v>
      </c>
      <c r="C21" s="2" t="s">
        <v>161</v>
      </c>
      <c r="D21" s="2" t="s">
        <v>162</v>
      </c>
      <c r="E21" s="2" t="s">
        <v>5</v>
      </c>
      <c r="F21" s="2" t="s">
        <v>31</v>
      </c>
      <c r="G21" s="2" t="s">
        <v>7</v>
      </c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C126-434C-482D-A06F-9B00E9B5C19F}">
  <dimension ref="A1:B109"/>
  <sheetViews>
    <sheetView workbookViewId="0"/>
  </sheetViews>
  <sheetFormatPr baseColWidth="10" defaultRowHeight="14.4" x14ac:dyDescent="0.3"/>
  <cols>
    <col min="1" max="1" width="11.77734375" bestFit="1" customWidth="1"/>
    <col min="2" max="2" width="13.77734375" bestFit="1" customWidth="1"/>
  </cols>
  <sheetData>
    <row r="1" spans="1:2" x14ac:dyDescent="0.3">
      <c r="A1" s="1" t="s">
        <v>166</v>
      </c>
      <c r="B1" s="1" t="s">
        <v>167</v>
      </c>
    </row>
    <row r="2" spans="1:2" x14ac:dyDescent="0.3">
      <c r="A2" s="2" t="s">
        <v>33</v>
      </c>
      <c r="B2" s="2" t="s">
        <v>94</v>
      </c>
    </row>
    <row r="3" spans="1:2" x14ac:dyDescent="0.3">
      <c r="A3" s="2" t="s">
        <v>33</v>
      </c>
      <c r="B3" s="2" t="s">
        <v>97</v>
      </c>
    </row>
    <row r="4" spans="1:2" x14ac:dyDescent="0.3">
      <c r="A4" s="2" t="s">
        <v>33</v>
      </c>
      <c r="B4" s="2" t="s">
        <v>100</v>
      </c>
    </row>
    <row r="5" spans="1:2" x14ac:dyDescent="0.3">
      <c r="A5" s="2" t="s">
        <v>33</v>
      </c>
      <c r="B5" s="2" t="s">
        <v>103</v>
      </c>
    </row>
    <row r="6" spans="1:2" x14ac:dyDescent="0.3">
      <c r="A6" s="2" t="s">
        <v>33</v>
      </c>
      <c r="B6" s="2" t="s">
        <v>107</v>
      </c>
    </row>
    <row r="7" spans="1:2" x14ac:dyDescent="0.3">
      <c r="A7" s="2" t="s">
        <v>34</v>
      </c>
      <c r="B7" s="2" t="s">
        <v>119</v>
      </c>
    </row>
    <row r="8" spans="1:2" x14ac:dyDescent="0.3">
      <c r="A8" s="2" t="s">
        <v>34</v>
      </c>
      <c r="B8" s="2" t="s">
        <v>127</v>
      </c>
    </row>
    <row r="9" spans="1:2" x14ac:dyDescent="0.3">
      <c r="A9" s="2" t="s">
        <v>34</v>
      </c>
      <c r="B9" s="2" t="s">
        <v>135</v>
      </c>
    </row>
    <row r="10" spans="1:2" x14ac:dyDescent="0.3">
      <c r="A10" s="2" t="s">
        <v>35</v>
      </c>
      <c r="B10" s="2" t="s">
        <v>97</v>
      </c>
    </row>
    <row r="11" spans="1:2" x14ac:dyDescent="0.3">
      <c r="A11" s="2" t="s">
        <v>35</v>
      </c>
      <c r="B11" s="2" t="s">
        <v>107</v>
      </c>
    </row>
    <row r="12" spans="1:2" x14ac:dyDescent="0.3">
      <c r="A12" s="2" t="s">
        <v>35</v>
      </c>
      <c r="B12" s="2" t="s">
        <v>131</v>
      </c>
    </row>
    <row r="13" spans="1:2" x14ac:dyDescent="0.3">
      <c r="A13" s="2" t="s">
        <v>36</v>
      </c>
      <c r="B13" s="2" t="s">
        <v>109</v>
      </c>
    </row>
    <row r="14" spans="1:2" x14ac:dyDescent="0.3">
      <c r="A14" s="2" t="s">
        <v>36</v>
      </c>
      <c r="B14" s="2" t="s">
        <v>107</v>
      </c>
    </row>
    <row r="15" spans="1:2" x14ac:dyDescent="0.3">
      <c r="A15" s="2" t="s">
        <v>37</v>
      </c>
      <c r="B15" s="2" t="s">
        <v>94</v>
      </c>
    </row>
    <row r="16" spans="1:2" x14ac:dyDescent="0.3">
      <c r="A16" s="2" t="s">
        <v>37</v>
      </c>
      <c r="B16" s="2" t="s">
        <v>109</v>
      </c>
    </row>
    <row r="17" spans="1:2" x14ac:dyDescent="0.3">
      <c r="A17" s="2" t="s">
        <v>37</v>
      </c>
      <c r="B17" s="2" t="s">
        <v>112</v>
      </c>
    </row>
    <row r="18" spans="1:2" x14ac:dyDescent="0.3">
      <c r="A18" s="2" t="s">
        <v>38</v>
      </c>
      <c r="B18" s="2" t="s">
        <v>97</v>
      </c>
    </row>
    <row r="19" spans="1:2" x14ac:dyDescent="0.3">
      <c r="A19" s="2" t="s">
        <v>38</v>
      </c>
      <c r="B19" s="2" t="s">
        <v>100</v>
      </c>
    </row>
    <row r="20" spans="1:2" x14ac:dyDescent="0.3">
      <c r="A20" s="2" t="s">
        <v>38</v>
      </c>
      <c r="B20" s="2" t="s">
        <v>103</v>
      </c>
    </row>
    <row r="21" spans="1:2" x14ac:dyDescent="0.3">
      <c r="A21" s="2" t="s">
        <v>39</v>
      </c>
      <c r="B21" s="2" t="s">
        <v>97</v>
      </c>
    </row>
    <row r="22" spans="1:2" x14ac:dyDescent="0.3">
      <c r="A22" s="2" t="s">
        <v>39</v>
      </c>
      <c r="B22" s="2" t="s">
        <v>146</v>
      </c>
    </row>
    <row r="23" spans="1:2" x14ac:dyDescent="0.3">
      <c r="A23" s="2" t="s">
        <v>40</v>
      </c>
      <c r="B23" s="2" t="s">
        <v>119</v>
      </c>
    </row>
    <row r="24" spans="1:2" x14ac:dyDescent="0.3">
      <c r="A24" s="2" t="s">
        <v>40</v>
      </c>
      <c r="B24" s="2" t="s">
        <v>157</v>
      </c>
    </row>
    <row r="25" spans="1:2" x14ac:dyDescent="0.3">
      <c r="A25" s="2" t="s">
        <v>41</v>
      </c>
      <c r="B25" s="2" t="s">
        <v>119</v>
      </c>
    </row>
    <row r="26" spans="1:2" x14ac:dyDescent="0.3">
      <c r="A26" s="2" t="s">
        <v>41</v>
      </c>
      <c r="B26" s="2" t="s">
        <v>123</v>
      </c>
    </row>
    <row r="27" spans="1:2" x14ac:dyDescent="0.3">
      <c r="A27" s="2" t="s">
        <v>41</v>
      </c>
      <c r="B27" s="2" t="s">
        <v>139</v>
      </c>
    </row>
    <row r="28" spans="1:2" x14ac:dyDescent="0.3">
      <c r="A28" s="2" t="s">
        <v>42</v>
      </c>
      <c r="B28" s="2" t="s">
        <v>154</v>
      </c>
    </row>
    <row r="29" spans="1:2" x14ac:dyDescent="0.3">
      <c r="A29" s="2" t="s">
        <v>42</v>
      </c>
      <c r="B29" s="2" t="s">
        <v>157</v>
      </c>
    </row>
    <row r="30" spans="1:2" x14ac:dyDescent="0.3">
      <c r="A30" s="2" t="s">
        <v>43</v>
      </c>
      <c r="B30" s="2" t="s">
        <v>157</v>
      </c>
    </row>
    <row r="31" spans="1:2" x14ac:dyDescent="0.3">
      <c r="A31" s="2" t="s">
        <v>44</v>
      </c>
      <c r="B31" s="2" t="s">
        <v>109</v>
      </c>
    </row>
    <row r="32" spans="1:2" x14ac:dyDescent="0.3">
      <c r="A32" s="2" t="s">
        <v>44</v>
      </c>
      <c r="B32" s="2" t="s">
        <v>115</v>
      </c>
    </row>
    <row r="33" spans="1:2" x14ac:dyDescent="0.3">
      <c r="A33" s="2" t="s">
        <v>44</v>
      </c>
      <c r="B33" s="2" t="s">
        <v>150</v>
      </c>
    </row>
    <row r="34" spans="1:2" x14ac:dyDescent="0.3">
      <c r="A34" s="2" t="s">
        <v>45</v>
      </c>
      <c r="B34" s="2" t="s">
        <v>135</v>
      </c>
    </row>
    <row r="35" spans="1:2" x14ac:dyDescent="0.3">
      <c r="A35" s="2" t="s">
        <v>45</v>
      </c>
      <c r="B35" s="2" t="s">
        <v>143</v>
      </c>
    </row>
    <row r="36" spans="1:2" x14ac:dyDescent="0.3">
      <c r="A36" s="2" t="s">
        <v>46</v>
      </c>
      <c r="B36" s="2" t="s">
        <v>160</v>
      </c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</sheetData>
  <phoneticPr fontId="2" type="noConversion"/>
  <dataValidations count="2">
    <dataValidation type="list" allowBlank="1" showInputMessage="1" showErrorMessage="1" sqref="B1:B1048576" xr:uid="{9079EB4E-FF3A-4D09-B9A8-7FF66C20CDC7}">
      <formula1>INDIRECT("Tabla_SR[ID]")</formula1>
    </dataValidation>
    <dataValidation type="list" allowBlank="1" showInputMessage="1" showErrorMessage="1" sqref="A1:A1048576" xr:uid="{B9C6A784-CA50-4EE2-BAB2-F689155110DF}">
      <formula1>INDIRECT("Tabla_UR[ID]")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FAC4-A8BF-4044-997F-D2D58A77CB61}">
  <dimension ref="A1:U15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1" sqref="E11"/>
    </sheetView>
  </sheetViews>
  <sheetFormatPr baseColWidth="10" defaultRowHeight="14.4" x14ac:dyDescent="0.3"/>
  <cols>
    <col min="1" max="1" width="5.77734375" bestFit="1" customWidth="1"/>
    <col min="2" max="21" width="3.33203125" bestFit="1" customWidth="1"/>
    <col min="22" max="22" width="10.88671875" customWidth="1"/>
    <col min="98" max="98" width="3.33203125" bestFit="1" customWidth="1"/>
    <col min="101" max="102" width="3.33203125" bestFit="1" customWidth="1"/>
  </cols>
  <sheetData>
    <row r="1" spans="1:21" s="3" customFormat="1" ht="30.6" x14ac:dyDescent="0.3">
      <c r="A1" s="4"/>
      <c r="B1" s="6" t="str" cm="1">
        <f t="array" ref="B1:U1">TRANSPOSE(Tabla_SR[ID])</f>
        <v>SR-01</v>
      </c>
      <c r="C1" s="6" t="str">
        <v>SR-02</v>
      </c>
      <c r="D1" s="6" t="str">
        <v>SR-03</v>
      </c>
      <c r="E1" s="6" t="str">
        <v>SR-04</v>
      </c>
      <c r="F1" s="6" t="str">
        <v>SR-05</v>
      </c>
      <c r="G1" s="6" t="str">
        <v>SR-06</v>
      </c>
      <c r="H1" s="6" t="str">
        <v>SR-07</v>
      </c>
      <c r="I1" s="6" t="str">
        <v>SR-08</v>
      </c>
      <c r="J1" s="6" t="str">
        <v>SR-09</v>
      </c>
      <c r="K1" s="6" t="str">
        <v>SR-10</v>
      </c>
      <c r="L1" s="6" t="str">
        <v>SR-11</v>
      </c>
      <c r="M1" s="6" t="str">
        <v>SR-12</v>
      </c>
      <c r="N1" s="6" t="str">
        <v>SR-13</v>
      </c>
      <c r="O1" s="6" t="str">
        <v>SR-14</v>
      </c>
      <c r="P1" s="6" t="str">
        <v>SR-15</v>
      </c>
      <c r="Q1" s="6" t="str">
        <v>SR-16</v>
      </c>
      <c r="R1" s="6" t="str">
        <v>SR-17</v>
      </c>
      <c r="S1" s="6" t="str">
        <v>SR-18</v>
      </c>
      <c r="T1" s="6" t="str">
        <v>SR-19</v>
      </c>
      <c r="U1" s="6" t="str">
        <v>SR-20</v>
      </c>
    </row>
    <row r="2" spans="1:21" x14ac:dyDescent="0.3">
      <c r="A2" s="7" t="str">
        <f>UR!A2</f>
        <v>UR-01</v>
      </c>
      <c r="B2" s="5" t="str">
        <f>IF(COUNTIFS(TRAZABILIDAD!$A:$A,$A2,TRAZABILIDAD!$B:$B,B$1)&gt;0,"X","")</f>
        <v>X</v>
      </c>
      <c r="C2" s="5" t="str">
        <f>IF(COUNTIFS(TRAZABILIDAD!$A:$A,$A2,TRAZABILIDAD!$B:$B,C$1)&gt;0,"X","")</f>
        <v>X</v>
      </c>
      <c r="D2" s="5" t="str">
        <f>IF(COUNTIFS(TRAZABILIDAD!$A:$A,$A2,TRAZABILIDAD!$B:$B,D$1)&gt;0,"X","")</f>
        <v>X</v>
      </c>
      <c r="E2" s="5" t="str">
        <f>IF(COUNTIFS(TRAZABILIDAD!$A:$A,$A2,TRAZABILIDAD!$B:$B,E$1)&gt;0,"X","")</f>
        <v>X</v>
      </c>
      <c r="F2" s="5" t="str">
        <f>IF(COUNTIFS(TRAZABILIDAD!$A:$A,$A2,TRAZABILIDAD!$B:$B,F$1)&gt;0,"X","")</f>
        <v>X</v>
      </c>
      <c r="G2" s="5" t="str">
        <f>IF(COUNTIFS(TRAZABILIDAD!$A:$A,$A2,TRAZABILIDAD!$B:$B,G$1)&gt;0,"X","")</f>
        <v/>
      </c>
      <c r="H2" s="5" t="str">
        <f>IF(COUNTIFS(TRAZABILIDAD!$A:$A,$A2,TRAZABILIDAD!$B:$B,H$1)&gt;0,"X","")</f>
        <v/>
      </c>
      <c r="I2" s="5" t="str">
        <f>IF(COUNTIFS(TRAZABILIDAD!$A:$A,$A2,TRAZABILIDAD!$B:$B,I$1)&gt;0,"X","")</f>
        <v/>
      </c>
      <c r="J2" s="5" t="str">
        <f>IF(COUNTIFS(TRAZABILIDAD!$A:$A,$A2,TRAZABILIDAD!$B:$B,J$1)&gt;0,"X","")</f>
        <v/>
      </c>
      <c r="K2" s="5" t="str">
        <f>IF(COUNTIFS(TRAZABILIDAD!$A:$A,$A2,TRAZABILIDAD!$B:$B,K$1)&gt;0,"X","")</f>
        <v/>
      </c>
      <c r="L2" s="5" t="str">
        <f>IF(COUNTIFS(TRAZABILIDAD!$A:$A,$A2,TRAZABILIDAD!$B:$B,L$1)&gt;0,"X","")</f>
        <v/>
      </c>
      <c r="M2" s="5" t="str">
        <f>IF(COUNTIFS(TRAZABILIDAD!$A:$A,$A2,TRAZABILIDAD!$B:$B,M$1)&gt;0,"X","")</f>
        <v/>
      </c>
      <c r="N2" s="5" t="str">
        <f>IF(COUNTIFS(TRAZABILIDAD!$A:$A,$A2,TRAZABILIDAD!$B:$B,N$1)&gt;0,"X","")</f>
        <v/>
      </c>
      <c r="O2" s="5" t="str">
        <f>IF(COUNTIFS(TRAZABILIDAD!$A:$A,$A2,TRAZABILIDAD!$B:$B,O$1)&gt;0,"X","")</f>
        <v/>
      </c>
      <c r="P2" s="5" t="str">
        <f>IF(COUNTIFS(TRAZABILIDAD!$A:$A,$A2,TRAZABILIDAD!$B:$B,P$1)&gt;0,"X","")</f>
        <v/>
      </c>
      <c r="Q2" s="5" t="str">
        <f>IF(COUNTIFS(TRAZABILIDAD!$A:$A,$A2,TRAZABILIDAD!$B:$B,Q$1)&gt;0,"X","")</f>
        <v/>
      </c>
      <c r="R2" s="5" t="str">
        <f>IF(COUNTIFS(TRAZABILIDAD!$A:$A,$A2,TRAZABILIDAD!$B:$B,R$1)&gt;0,"X","")</f>
        <v/>
      </c>
      <c r="S2" s="5" t="str">
        <f>IF(COUNTIFS(TRAZABILIDAD!$A:$A,$A2,TRAZABILIDAD!$B:$B,S$1)&gt;0,"X","")</f>
        <v/>
      </c>
      <c r="T2" s="5" t="str">
        <f>IF(COUNTIFS(TRAZABILIDAD!$A:$A,$A2,TRAZABILIDAD!$B:$B,T$1)&gt;0,"X","")</f>
        <v/>
      </c>
      <c r="U2" s="5" t="str">
        <f>IF(COUNTIFS(TRAZABILIDAD!$A:$A,$A2,TRAZABILIDAD!$B:$B,U$1)&gt;0,"X","")</f>
        <v/>
      </c>
    </row>
    <row r="3" spans="1:21" x14ac:dyDescent="0.3">
      <c r="A3" s="7" t="str">
        <f>UR!A3</f>
        <v>UR-02</v>
      </c>
      <c r="B3" s="5" t="str">
        <f>IF(COUNTIFS(TRAZABILIDAD!$A:$A,$A3,TRAZABILIDAD!$B:$B,B$1)&gt;0,"X","")</f>
        <v/>
      </c>
      <c r="C3" s="5" t="str">
        <f>IF(COUNTIFS(TRAZABILIDAD!$A:$A,$A3,TRAZABILIDAD!$B:$B,C$1)&gt;0,"X","")</f>
        <v/>
      </c>
      <c r="D3" s="5" t="str">
        <f>IF(COUNTIFS(TRAZABILIDAD!$A:$A,$A3,TRAZABILIDAD!$B:$B,D$1)&gt;0,"X","")</f>
        <v/>
      </c>
      <c r="E3" s="5" t="str">
        <f>IF(COUNTIFS(TRAZABILIDAD!$A:$A,$A3,TRAZABILIDAD!$B:$B,E$1)&gt;0,"X","")</f>
        <v/>
      </c>
      <c r="F3" s="5" t="str">
        <f>IF(COUNTIFS(TRAZABILIDAD!$A:$A,$A3,TRAZABILIDAD!$B:$B,F$1)&gt;0,"X","")</f>
        <v/>
      </c>
      <c r="G3" s="5" t="str">
        <f>IF(COUNTIFS(TRAZABILIDAD!$A:$A,$A3,TRAZABILIDAD!$B:$B,G$1)&gt;0,"X","")</f>
        <v/>
      </c>
      <c r="H3" s="5" t="str">
        <f>IF(COUNTIFS(TRAZABILIDAD!$A:$A,$A3,TRAZABILIDAD!$B:$B,H$1)&gt;0,"X","")</f>
        <v/>
      </c>
      <c r="I3" s="5" t="str">
        <f>IF(COUNTIFS(TRAZABILIDAD!$A:$A,$A3,TRAZABILIDAD!$B:$B,I$1)&gt;0,"X","")</f>
        <v/>
      </c>
      <c r="J3" s="5" t="str">
        <f>IF(COUNTIFS(TRAZABILIDAD!$A:$A,$A3,TRAZABILIDAD!$B:$B,J$1)&gt;0,"X","")</f>
        <v>X</v>
      </c>
      <c r="K3" s="5" t="str">
        <f>IF(COUNTIFS(TRAZABILIDAD!$A:$A,$A3,TRAZABILIDAD!$B:$B,K$1)&gt;0,"X","")</f>
        <v/>
      </c>
      <c r="L3" s="5" t="str">
        <f>IF(COUNTIFS(TRAZABILIDAD!$A:$A,$A3,TRAZABILIDAD!$B:$B,L$1)&gt;0,"X","")</f>
        <v>X</v>
      </c>
      <c r="M3" s="5" t="str">
        <f>IF(COUNTIFS(TRAZABILIDAD!$A:$A,$A3,TRAZABILIDAD!$B:$B,M$1)&gt;0,"X","")</f>
        <v/>
      </c>
      <c r="N3" s="5" t="str">
        <f>IF(COUNTIFS(TRAZABILIDAD!$A:$A,$A3,TRAZABILIDAD!$B:$B,N$1)&gt;0,"X","")</f>
        <v>X</v>
      </c>
      <c r="O3" s="5" t="str">
        <f>IF(COUNTIFS(TRAZABILIDAD!$A:$A,$A3,TRAZABILIDAD!$B:$B,O$1)&gt;0,"X","")</f>
        <v/>
      </c>
      <c r="P3" s="5" t="str">
        <f>IF(COUNTIFS(TRAZABILIDAD!$A:$A,$A3,TRAZABILIDAD!$B:$B,P$1)&gt;0,"X","")</f>
        <v/>
      </c>
      <c r="Q3" s="5" t="str">
        <f>IF(COUNTIFS(TRAZABILIDAD!$A:$A,$A3,TRAZABILIDAD!$B:$B,Q$1)&gt;0,"X","")</f>
        <v/>
      </c>
      <c r="R3" s="5" t="str">
        <f>IF(COUNTIFS(TRAZABILIDAD!$A:$A,$A3,TRAZABILIDAD!$B:$B,R$1)&gt;0,"X","")</f>
        <v/>
      </c>
      <c r="S3" s="5" t="str">
        <f>IF(COUNTIFS(TRAZABILIDAD!$A:$A,$A3,TRAZABILIDAD!$B:$B,S$1)&gt;0,"X","")</f>
        <v/>
      </c>
      <c r="T3" s="5" t="str">
        <f>IF(COUNTIFS(TRAZABILIDAD!$A:$A,$A3,TRAZABILIDAD!$B:$B,T$1)&gt;0,"X","")</f>
        <v/>
      </c>
      <c r="U3" s="5" t="str">
        <f>IF(COUNTIFS(TRAZABILIDAD!$A:$A,$A3,TRAZABILIDAD!$B:$B,U$1)&gt;0,"X","")</f>
        <v/>
      </c>
    </row>
    <row r="4" spans="1:21" x14ac:dyDescent="0.3">
      <c r="A4" s="7" t="str">
        <f>UR!A4</f>
        <v>UR-03</v>
      </c>
      <c r="B4" s="5" t="str">
        <f>IF(COUNTIFS(TRAZABILIDAD!$A:$A,$A4,TRAZABILIDAD!$B:$B,B$1)&gt;0,"X","")</f>
        <v/>
      </c>
      <c r="C4" s="5" t="str">
        <f>IF(COUNTIFS(TRAZABILIDAD!$A:$A,$A4,TRAZABILIDAD!$B:$B,C$1)&gt;0,"X","")</f>
        <v>X</v>
      </c>
      <c r="D4" s="5" t="str">
        <f>IF(COUNTIFS(TRAZABILIDAD!$A:$A,$A4,TRAZABILIDAD!$B:$B,D$1)&gt;0,"X","")</f>
        <v/>
      </c>
      <c r="E4" s="5" t="str">
        <f>IF(COUNTIFS(TRAZABILIDAD!$A:$A,$A4,TRAZABILIDAD!$B:$B,E$1)&gt;0,"X","")</f>
        <v/>
      </c>
      <c r="F4" s="5" t="str">
        <f>IF(COUNTIFS(TRAZABILIDAD!$A:$A,$A4,TRAZABILIDAD!$B:$B,F$1)&gt;0,"X","")</f>
        <v>X</v>
      </c>
      <c r="G4" s="5" t="str">
        <f>IF(COUNTIFS(TRAZABILIDAD!$A:$A,$A4,TRAZABILIDAD!$B:$B,G$1)&gt;0,"X","")</f>
        <v/>
      </c>
      <c r="H4" s="5" t="str">
        <f>IF(COUNTIFS(TRAZABILIDAD!$A:$A,$A4,TRAZABILIDAD!$B:$B,H$1)&gt;0,"X","")</f>
        <v/>
      </c>
      <c r="I4" s="5" t="str">
        <f>IF(COUNTIFS(TRAZABILIDAD!$A:$A,$A4,TRAZABILIDAD!$B:$B,I$1)&gt;0,"X","")</f>
        <v/>
      </c>
      <c r="J4" s="5" t="str">
        <f>IF(COUNTIFS(TRAZABILIDAD!$A:$A,$A4,TRAZABILIDAD!$B:$B,J$1)&gt;0,"X","")</f>
        <v/>
      </c>
      <c r="K4" s="5" t="str">
        <f>IF(COUNTIFS(TRAZABILIDAD!$A:$A,$A4,TRAZABILIDAD!$B:$B,K$1)&gt;0,"X","")</f>
        <v/>
      </c>
      <c r="L4" s="5" t="str">
        <f>IF(COUNTIFS(TRAZABILIDAD!$A:$A,$A4,TRAZABILIDAD!$B:$B,L$1)&gt;0,"X","")</f>
        <v/>
      </c>
      <c r="M4" s="5" t="str">
        <f>IF(COUNTIFS(TRAZABILIDAD!$A:$A,$A4,TRAZABILIDAD!$B:$B,M$1)&gt;0,"X","")</f>
        <v>X</v>
      </c>
      <c r="N4" s="5" t="str">
        <f>IF(COUNTIFS(TRAZABILIDAD!$A:$A,$A4,TRAZABILIDAD!$B:$B,N$1)&gt;0,"X","")</f>
        <v/>
      </c>
      <c r="O4" s="5" t="str">
        <f>IF(COUNTIFS(TRAZABILIDAD!$A:$A,$A4,TRAZABILIDAD!$B:$B,O$1)&gt;0,"X","")</f>
        <v/>
      </c>
      <c r="P4" s="5" t="str">
        <f>IF(COUNTIFS(TRAZABILIDAD!$A:$A,$A4,TRAZABILIDAD!$B:$B,P$1)&gt;0,"X","")</f>
        <v/>
      </c>
      <c r="Q4" s="5" t="str">
        <f>IF(COUNTIFS(TRAZABILIDAD!$A:$A,$A4,TRAZABILIDAD!$B:$B,Q$1)&gt;0,"X","")</f>
        <v/>
      </c>
      <c r="R4" s="5" t="str">
        <f>IF(COUNTIFS(TRAZABILIDAD!$A:$A,$A4,TRAZABILIDAD!$B:$B,R$1)&gt;0,"X","")</f>
        <v/>
      </c>
      <c r="S4" s="5" t="str">
        <f>IF(COUNTIFS(TRAZABILIDAD!$A:$A,$A4,TRAZABILIDAD!$B:$B,S$1)&gt;0,"X","")</f>
        <v/>
      </c>
      <c r="T4" s="5" t="str">
        <f>IF(COUNTIFS(TRAZABILIDAD!$A:$A,$A4,TRAZABILIDAD!$B:$B,T$1)&gt;0,"X","")</f>
        <v/>
      </c>
      <c r="U4" s="5" t="str">
        <f>IF(COUNTIFS(TRAZABILIDAD!$A:$A,$A4,TRAZABILIDAD!$B:$B,U$1)&gt;0,"X","")</f>
        <v/>
      </c>
    </row>
    <row r="5" spans="1:21" x14ac:dyDescent="0.3">
      <c r="A5" s="7" t="str">
        <f>UR!A5</f>
        <v>UR-04</v>
      </c>
      <c r="B5" s="5" t="str">
        <f>IF(COUNTIFS(TRAZABILIDAD!$A:$A,$A5,TRAZABILIDAD!$B:$B,B$1)&gt;0,"X","")</f>
        <v/>
      </c>
      <c r="C5" s="5" t="str">
        <f>IF(COUNTIFS(TRAZABILIDAD!$A:$A,$A5,TRAZABILIDAD!$B:$B,C$1)&gt;0,"X","")</f>
        <v/>
      </c>
      <c r="D5" s="5" t="str">
        <f>IF(COUNTIFS(TRAZABILIDAD!$A:$A,$A5,TRAZABILIDAD!$B:$B,D$1)&gt;0,"X","")</f>
        <v/>
      </c>
      <c r="E5" s="5" t="str">
        <f>IF(COUNTIFS(TRAZABILIDAD!$A:$A,$A5,TRAZABILIDAD!$B:$B,E$1)&gt;0,"X","")</f>
        <v/>
      </c>
      <c r="F5" s="5" t="str">
        <f>IF(COUNTIFS(TRAZABILIDAD!$A:$A,$A5,TRAZABILIDAD!$B:$B,F$1)&gt;0,"X","")</f>
        <v>X</v>
      </c>
      <c r="G5" s="5" t="str">
        <f>IF(COUNTIFS(TRAZABILIDAD!$A:$A,$A5,TRAZABILIDAD!$B:$B,G$1)&gt;0,"X","")</f>
        <v>X</v>
      </c>
      <c r="H5" s="5" t="str">
        <f>IF(COUNTIFS(TRAZABILIDAD!$A:$A,$A5,TRAZABILIDAD!$B:$B,H$1)&gt;0,"X","")</f>
        <v/>
      </c>
      <c r="I5" s="5" t="str">
        <f>IF(COUNTIFS(TRAZABILIDAD!$A:$A,$A5,TRAZABILIDAD!$B:$B,I$1)&gt;0,"X","")</f>
        <v/>
      </c>
      <c r="J5" s="5" t="str">
        <f>IF(COUNTIFS(TRAZABILIDAD!$A:$A,$A5,TRAZABILIDAD!$B:$B,J$1)&gt;0,"X","")</f>
        <v/>
      </c>
      <c r="K5" s="5" t="str">
        <f>IF(COUNTIFS(TRAZABILIDAD!$A:$A,$A5,TRAZABILIDAD!$B:$B,K$1)&gt;0,"X","")</f>
        <v/>
      </c>
      <c r="L5" s="5" t="str">
        <f>IF(COUNTIFS(TRAZABILIDAD!$A:$A,$A5,TRAZABILIDAD!$B:$B,L$1)&gt;0,"X","")</f>
        <v/>
      </c>
      <c r="M5" s="5" t="str">
        <f>IF(COUNTIFS(TRAZABILIDAD!$A:$A,$A5,TRAZABILIDAD!$B:$B,M$1)&gt;0,"X","")</f>
        <v/>
      </c>
      <c r="N5" s="5" t="str">
        <f>IF(COUNTIFS(TRAZABILIDAD!$A:$A,$A5,TRAZABILIDAD!$B:$B,N$1)&gt;0,"X","")</f>
        <v/>
      </c>
      <c r="O5" s="5" t="str">
        <f>IF(COUNTIFS(TRAZABILIDAD!$A:$A,$A5,TRAZABILIDAD!$B:$B,O$1)&gt;0,"X","")</f>
        <v/>
      </c>
      <c r="P5" s="5" t="str">
        <f>IF(COUNTIFS(TRAZABILIDAD!$A:$A,$A5,TRAZABILIDAD!$B:$B,P$1)&gt;0,"X","")</f>
        <v/>
      </c>
      <c r="Q5" s="5" t="str">
        <f>IF(COUNTIFS(TRAZABILIDAD!$A:$A,$A5,TRAZABILIDAD!$B:$B,Q$1)&gt;0,"X","")</f>
        <v/>
      </c>
      <c r="R5" s="5" t="str">
        <f>IF(COUNTIFS(TRAZABILIDAD!$A:$A,$A5,TRAZABILIDAD!$B:$B,R$1)&gt;0,"X","")</f>
        <v/>
      </c>
      <c r="S5" s="5" t="str">
        <f>IF(COUNTIFS(TRAZABILIDAD!$A:$A,$A5,TRAZABILIDAD!$B:$B,S$1)&gt;0,"X","")</f>
        <v/>
      </c>
      <c r="T5" s="5" t="str">
        <f>IF(COUNTIFS(TRAZABILIDAD!$A:$A,$A5,TRAZABILIDAD!$B:$B,T$1)&gt;0,"X","")</f>
        <v/>
      </c>
      <c r="U5" s="5" t="str">
        <f>IF(COUNTIFS(TRAZABILIDAD!$A:$A,$A5,TRAZABILIDAD!$B:$B,U$1)&gt;0,"X","")</f>
        <v/>
      </c>
    </row>
    <row r="6" spans="1:21" x14ac:dyDescent="0.3">
      <c r="A6" s="7" t="str">
        <f>UR!A6</f>
        <v>UR-05</v>
      </c>
      <c r="B6" s="5" t="str">
        <f>IF(COUNTIFS(TRAZABILIDAD!$A:$A,$A6,TRAZABILIDAD!$B:$B,B$1)&gt;0,"X","")</f>
        <v>X</v>
      </c>
      <c r="C6" s="5" t="str">
        <f>IF(COUNTIFS(TRAZABILIDAD!$A:$A,$A6,TRAZABILIDAD!$B:$B,C$1)&gt;0,"X","")</f>
        <v/>
      </c>
      <c r="D6" s="5" t="str">
        <f>IF(COUNTIFS(TRAZABILIDAD!$A:$A,$A6,TRAZABILIDAD!$B:$B,D$1)&gt;0,"X","")</f>
        <v/>
      </c>
      <c r="E6" s="5" t="str">
        <f>IF(COUNTIFS(TRAZABILIDAD!$A:$A,$A6,TRAZABILIDAD!$B:$B,E$1)&gt;0,"X","")</f>
        <v/>
      </c>
      <c r="F6" s="5" t="str">
        <f>IF(COUNTIFS(TRAZABILIDAD!$A:$A,$A6,TRAZABILIDAD!$B:$B,F$1)&gt;0,"X","")</f>
        <v/>
      </c>
      <c r="G6" s="5" t="str">
        <f>IF(COUNTIFS(TRAZABILIDAD!$A:$A,$A6,TRAZABILIDAD!$B:$B,G$1)&gt;0,"X","")</f>
        <v>X</v>
      </c>
      <c r="H6" s="5" t="str">
        <f>IF(COUNTIFS(TRAZABILIDAD!$A:$A,$A6,TRAZABILIDAD!$B:$B,H$1)&gt;0,"X","")</f>
        <v>X</v>
      </c>
      <c r="I6" s="5" t="str">
        <f>IF(COUNTIFS(TRAZABILIDAD!$A:$A,$A6,TRAZABILIDAD!$B:$B,I$1)&gt;0,"X","")</f>
        <v/>
      </c>
      <c r="J6" s="5" t="str">
        <f>IF(COUNTIFS(TRAZABILIDAD!$A:$A,$A6,TRAZABILIDAD!$B:$B,J$1)&gt;0,"X","")</f>
        <v/>
      </c>
      <c r="K6" s="5" t="str">
        <f>IF(COUNTIFS(TRAZABILIDAD!$A:$A,$A6,TRAZABILIDAD!$B:$B,K$1)&gt;0,"X","")</f>
        <v/>
      </c>
      <c r="L6" s="5" t="str">
        <f>IF(COUNTIFS(TRAZABILIDAD!$A:$A,$A6,TRAZABILIDAD!$B:$B,L$1)&gt;0,"X","")</f>
        <v/>
      </c>
      <c r="M6" s="5" t="str">
        <f>IF(COUNTIFS(TRAZABILIDAD!$A:$A,$A6,TRAZABILIDAD!$B:$B,M$1)&gt;0,"X","")</f>
        <v/>
      </c>
      <c r="N6" s="5" t="str">
        <f>IF(COUNTIFS(TRAZABILIDAD!$A:$A,$A6,TRAZABILIDAD!$B:$B,N$1)&gt;0,"X","")</f>
        <v/>
      </c>
      <c r="O6" s="5" t="str">
        <f>IF(COUNTIFS(TRAZABILIDAD!$A:$A,$A6,TRAZABILIDAD!$B:$B,O$1)&gt;0,"X","")</f>
        <v/>
      </c>
      <c r="P6" s="5" t="str">
        <f>IF(COUNTIFS(TRAZABILIDAD!$A:$A,$A6,TRAZABILIDAD!$B:$B,P$1)&gt;0,"X","")</f>
        <v/>
      </c>
      <c r="Q6" s="5" t="str">
        <f>IF(COUNTIFS(TRAZABILIDAD!$A:$A,$A6,TRAZABILIDAD!$B:$B,Q$1)&gt;0,"X","")</f>
        <v/>
      </c>
      <c r="R6" s="5" t="str">
        <f>IF(COUNTIFS(TRAZABILIDAD!$A:$A,$A6,TRAZABILIDAD!$B:$B,R$1)&gt;0,"X","")</f>
        <v/>
      </c>
      <c r="S6" s="5" t="str">
        <f>IF(COUNTIFS(TRAZABILIDAD!$A:$A,$A6,TRAZABILIDAD!$B:$B,S$1)&gt;0,"X","")</f>
        <v/>
      </c>
      <c r="T6" s="5" t="str">
        <f>IF(COUNTIFS(TRAZABILIDAD!$A:$A,$A6,TRAZABILIDAD!$B:$B,T$1)&gt;0,"X","")</f>
        <v/>
      </c>
      <c r="U6" s="5" t="str">
        <f>IF(COUNTIFS(TRAZABILIDAD!$A:$A,$A6,TRAZABILIDAD!$B:$B,U$1)&gt;0,"X","")</f>
        <v/>
      </c>
    </row>
    <row r="7" spans="1:21" x14ac:dyDescent="0.3">
      <c r="A7" s="7" t="str">
        <f>UR!A7</f>
        <v>UR-06</v>
      </c>
      <c r="B7" s="5" t="str">
        <f>IF(COUNTIFS(TRAZABILIDAD!$A:$A,$A7,TRAZABILIDAD!$B:$B,B$1)&gt;0,"X","")</f>
        <v/>
      </c>
      <c r="C7" s="5" t="str">
        <f>IF(COUNTIFS(TRAZABILIDAD!$A:$A,$A7,TRAZABILIDAD!$B:$B,C$1)&gt;0,"X","")</f>
        <v>X</v>
      </c>
      <c r="D7" s="5" t="str">
        <f>IF(COUNTIFS(TRAZABILIDAD!$A:$A,$A7,TRAZABILIDAD!$B:$B,D$1)&gt;0,"X","")</f>
        <v>X</v>
      </c>
      <c r="E7" s="5" t="str">
        <f>IF(COUNTIFS(TRAZABILIDAD!$A:$A,$A7,TRAZABILIDAD!$B:$B,E$1)&gt;0,"X","")</f>
        <v>X</v>
      </c>
      <c r="F7" s="5" t="str">
        <f>IF(COUNTIFS(TRAZABILIDAD!$A:$A,$A7,TRAZABILIDAD!$B:$B,F$1)&gt;0,"X","")</f>
        <v/>
      </c>
      <c r="G7" s="5" t="str">
        <f>IF(COUNTIFS(TRAZABILIDAD!$A:$A,$A7,TRAZABILIDAD!$B:$B,G$1)&gt;0,"X","")</f>
        <v/>
      </c>
      <c r="H7" s="5" t="str">
        <f>IF(COUNTIFS(TRAZABILIDAD!$A:$A,$A7,TRAZABILIDAD!$B:$B,H$1)&gt;0,"X","")</f>
        <v/>
      </c>
      <c r="I7" s="5" t="str">
        <f>IF(COUNTIFS(TRAZABILIDAD!$A:$A,$A7,TRAZABILIDAD!$B:$B,I$1)&gt;0,"X","")</f>
        <v/>
      </c>
      <c r="J7" s="5" t="str">
        <f>IF(COUNTIFS(TRAZABILIDAD!$A:$A,$A7,TRAZABILIDAD!$B:$B,J$1)&gt;0,"X","")</f>
        <v/>
      </c>
      <c r="K7" s="5" t="str">
        <f>IF(COUNTIFS(TRAZABILIDAD!$A:$A,$A7,TRAZABILIDAD!$B:$B,K$1)&gt;0,"X","")</f>
        <v/>
      </c>
      <c r="L7" s="5" t="str">
        <f>IF(COUNTIFS(TRAZABILIDAD!$A:$A,$A7,TRAZABILIDAD!$B:$B,L$1)&gt;0,"X","")</f>
        <v/>
      </c>
      <c r="M7" s="5" t="str">
        <f>IF(COUNTIFS(TRAZABILIDAD!$A:$A,$A7,TRAZABILIDAD!$B:$B,M$1)&gt;0,"X","")</f>
        <v/>
      </c>
      <c r="N7" s="5" t="str">
        <f>IF(COUNTIFS(TRAZABILIDAD!$A:$A,$A7,TRAZABILIDAD!$B:$B,N$1)&gt;0,"X","")</f>
        <v/>
      </c>
      <c r="O7" s="5" t="str">
        <f>IF(COUNTIFS(TRAZABILIDAD!$A:$A,$A7,TRAZABILIDAD!$B:$B,O$1)&gt;0,"X","")</f>
        <v/>
      </c>
      <c r="P7" s="5" t="str">
        <f>IF(COUNTIFS(TRAZABILIDAD!$A:$A,$A7,TRAZABILIDAD!$B:$B,P$1)&gt;0,"X","")</f>
        <v/>
      </c>
      <c r="Q7" s="5" t="str">
        <f>IF(COUNTIFS(TRAZABILIDAD!$A:$A,$A7,TRAZABILIDAD!$B:$B,Q$1)&gt;0,"X","")</f>
        <v/>
      </c>
      <c r="R7" s="5" t="str">
        <f>IF(COUNTIFS(TRAZABILIDAD!$A:$A,$A7,TRAZABILIDAD!$B:$B,R$1)&gt;0,"X","")</f>
        <v/>
      </c>
      <c r="S7" s="5" t="str">
        <f>IF(COUNTIFS(TRAZABILIDAD!$A:$A,$A7,TRAZABILIDAD!$B:$B,S$1)&gt;0,"X","")</f>
        <v/>
      </c>
      <c r="T7" s="5" t="str">
        <f>IF(COUNTIFS(TRAZABILIDAD!$A:$A,$A7,TRAZABILIDAD!$B:$B,T$1)&gt;0,"X","")</f>
        <v/>
      </c>
      <c r="U7" s="5" t="str">
        <f>IF(COUNTIFS(TRAZABILIDAD!$A:$A,$A7,TRAZABILIDAD!$B:$B,U$1)&gt;0,"X","")</f>
        <v/>
      </c>
    </row>
    <row r="8" spans="1:21" x14ac:dyDescent="0.3">
      <c r="A8" s="7" t="str">
        <f>UR!A8</f>
        <v>UR-07</v>
      </c>
      <c r="B8" s="5" t="str">
        <f>IF(COUNTIFS(TRAZABILIDAD!$A:$A,$A8,TRAZABILIDAD!$B:$B,B$1)&gt;0,"X","")</f>
        <v/>
      </c>
      <c r="C8" s="5" t="str">
        <f>IF(COUNTIFS(TRAZABILIDAD!$A:$A,$A8,TRAZABILIDAD!$B:$B,C$1)&gt;0,"X","")</f>
        <v>X</v>
      </c>
      <c r="D8" s="5" t="str">
        <f>IF(COUNTIFS(TRAZABILIDAD!$A:$A,$A8,TRAZABILIDAD!$B:$B,D$1)&gt;0,"X","")</f>
        <v/>
      </c>
      <c r="E8" s="5" t="str">
        <f>IF(COUNTIFS(TRAZABILIDAD!$A:$A,$A8,TRAZABILIDAD!$B:$B,E$1)&gt;0,"X","")</f>
        <v/>
      </c>
      <c r="F8" s="5" t="str">
        <f>IF(COUNTIFS(TRAZABILIDAD!$A:$A,$A8,TRAZABILIDAD!$B:$B,F$1)&gt;0,"X","")</f>
        <v/>
      </c>
      <c r="G8" s="5" t="str">
        <f>IF(COUNTIFS(TRAZABILIDAD!$A:$A,$A8,TRAZABILIDAD!$B:$B,G$1)&gt;0,"X","")</f>
        <v/>
      </c>
      <c r="H8" s="5" t="str">
        <f>IF(COUNTIFS(TRAZABILIDAD!$A:$A,$A8,TRAZABILIDAD!$B:$B,H$1)&gt;0,"X","")</f>
        <v/>
      </c>
      <c r="I8" s="5" t="str">
        <f>IF(COUNTIFS(TRAZABILIDAD!$A:$A,$A8,TRAZABILIDAD!$B:$B,I$1)&gt;0,"X","")</f>
        <v/>
      </c>
      <c r="J8" s="5" t="str">
        <f>IF(COUNTIFS(TRAZABILIDAD!$A:$A,$A8,TRAZABILIDAD!$B:$B,J$1)&gt;0,"X","")</f>
        <v/>
      </c>
      <c r="K8" s="5" t="str">
        <f>IF(COUNTIFS(TRAZABILIDAD!$A:$A,$A8,TRAZABILIDAD!$B:$B,K$1)&gt;0,"X","")</f>
        <v/>
      </c>
      <c r="L8" s="5" t="str">
        <f>IF(COUNTIFS(TRAZABILIDAD!$A:$A,$A8,TRAZABILIDAD!$B:$B,L$1)&gt;0,"X","")</f>
        <v/>
      </c>
      <c r="M8" s="5" t="str">
        <f>IF(COUNTIFS(TRAZABILIDAD!$A:$A,$A8,TRAZABILIDAD!$B:$B,M$1)&gt;0,"X","")</f>
        <v/>
      </c>
      <c r="N8" s="5" t="str">
        <f>IF(COUNTIFS(TRAZABILIDAD!$A:$A,$A8,TRAZABILIDAD!$B:$B,N$1)&gt;0,"X","")</f>
        <v/>
      </c>
      <c r="O8" s="5" t="str">
        <f>IF(COUNTIFS(TRAZABILIDAD!$A:$A,$A8,TRAZABILIDAD!$B:$B,O$1)&gt;0,"X","")</f>
        <v/>
      </c>
      <c r="P8" s="5" t="str">
        <f>IF(COUNTIFS(TRAZABILIDAD!$A:$A,$A8,TRAZABILIDAD!$B:$B,P$1)&gt;0,"X","")</f>
        <v/>
      </c>
      <c r="Q8" s="5" t="str">
        <f>IF(COUNTIFS(TRAZABILIDAD!$A:$A,$A8,TRAZABILIDAD!$B:$B,Q$1)&gt;0,"X","")</f>
        <v>X</v>
      </c>
      <c r="R8" s="5" t="str">
        <f>IF(COUNTIFS(TRAZABILIDAD!$A:$A,$A8,TRAZABILIDAD!$B:$B,R$1)&gt;0,"X","")</f>
        <v/>
      </c>
      <c r="S8" s="5" t="str">
        <f>IF(COUNTIFS(TRAZABILIDAD!$A:$A,$A8,TRAZABILIDAD!$B:$B,S$1)&gt;0,"X","")</f>
        <v/>
      </c>
      <c r="T8" s="5" t="str">
        <f>IF(COUNTIFS(TRAZABILIDAD!$A:$A,$A8,TRAZABILIDAD!$B:$B,T$1)&gt;0,"X","")</f>
        <v/>
      </c>
      <c r="U8" s="5" t="str">
        <f>IF(COUNTIFS(TRAZABILIDAD!$A:$A,$A8,TRAZABILIDAD!$B:$B,U$1)&gt;0,"X","")</f>
        <v/>
      </c>
    </row>
    <row r="9" spans="1:21" x14ac:dyDescent="0.3">
      <c r="A9" s="7" t="str">
        <f>UR!A9</f>
        <v>UR-08</v>
      </c>
      <c r="B9" s="5" t="str">
        <f>IF(COUNTIFS(TRAZABILIDAD!$A:$A,$A9,TRAZABILIDAD!$B:$B,B$1)&gt;0,"X","")</f>
        <v/>
      </c>
      <c r="C9" s="5" t="str">
        <f>IF(COUNTIFS(TRAZABILIDAD!$A:$A,$A9,TRAZABILIDAD!$B:$B,C$1)&gt;0,"X","")</f>
        <v/>
      </c>
      <c r="D9" s="5" t="str">
        <f>IF(COUNTIFS(TRAZABILIDAD!$A:$A,$A9,TRAZABILIDAD!$B:$B,D$1)&gt;0,"X","")</f>
        <v/>
      </c>
      <c r="E9" s="5" t="str">
        <f>IF(COUNTIFS(TRAZABILIDAD!$A:$A,$A9,TRAZABILIDAD!$B:$B,E$1)&gt;0,"X","")</f>
        <v/>
      </c>
      <c r="F9" s="5" t="str">
        <f>IF(COUNTIFS(TRAZABILIDAD!$A:$A,$A9,TRAZABILIDAD!$B:$B,F$1)&gt;0,"X","")</f>
        <v/>
      </c>
      <c r="G9" s="5" t="str">
        <f>IF(COUNTIFS(TRAZABILIDAD!$A:$A,$A9,TRAZABILIDAD!$B:$B,G$1)&gt;0,"X","")</f>
        <v/>
      </c>
      <c r="H9" s="5" t="str">
        <f>IF(COUNTIFS(TRAZABILIDAD!$A:$A,$A9,TRAZABILIDAD!$B:$B,H$1)&gt;0,"X","")</f>
        <v/>
      </c>
      <c r="I9" s="5" t="str">
        <f>IF(COUNTIFS(TRAZABILIDAD!$A:$A,$A9,TRAZABILIDAD!$B:$B,I$1)&gt;0,"X","")</f>
        <v/>
      </c>
      <c r="J9" s="5" t="str">
        <f>IF(COUNTIFS(TRAZABILIDAD!$A:$A,$A9,TRAZABILIDAD!$B:$B,J$1)&gt;0,"X","")</f>
        <v>X</v>
      </c>
      <c r="K9" s="5" t="str">
        <f>IF(COUNTIFS(TRAZABILIDAD!$A:$A,$A9,TRAZABILIDAD!$B:$B,K$1)&gt;0,"X","")</f>
        <v/>
      </c>
      <c r="L9" s="5" t="str">
        <f>IF(COUNTIFS(TRAZABILIDAD!$A:$A,$A9,TRAZABILIDAD!$B:$B,L$1)&gt;0,"X","")</f>
        <v/>
      </c>
      <c r="M9" s="5" t="str">
        <f>IF(COUNTIFS(TRAZABILIDAD!$A:$A,$A9,TRAZABILIDAD!$B:$B,M$1)&gt;0,"X","")</f>
        <v/>
      </c>
      <c r="N9" s="5" t="str">
        <f>IF(COUNTIFS(TRAZABILIDAD!$A:$A,$A9,TRAZABILIDAD!$B:$B,N$1)&gt;0,"X","")</f>
        <v/>
      </c>
      <c r="O9" s="5" t="str">
        <f>IF(COUNTIFS(TRAZABILIDAD!$A:$A,$A9,TRAZABILIDAD!$B:$B,O$1)&gt;0,"X","")</f>
        <v/>
      </c>
      <c r="P9" s="5" t="str">
        <f>IF(COUNTIFS(TRAZABILIDAD!$A:$A,$A9,TRAZABILIDAD!$B:$B,P$1)&gt;0,"X","")</f>
        <v/>
      </c>
      <c r="Q9" s="5" t="str">
        <f>IF(COUNTIFS(TRAZABILIDAD!$A:$A,$A9,TRAZABILIDAD!$B:$B,Q$1)&gt;0,"X","")</f>
        <v/>
      </c>
      <c r="R9" s="5" t="str">
        <f>IF(COUNTIFS(TRAZABILIDAD!$A:$A,$A9,TRAZABILIDAD!$B:$B,R$1)&gt;0,"X","")</f>
        <v/>
      </c>
      <c r="S9" s="5" t="str">
        <f>IF(COUNTIFS(TRAZABILIDAD!$A:$A,$A9,TRAZABILIDAD!$B:$B,S$1)&gt;0,"X","")</f>
        <v/>
      </c>
      <c r="T9" s="5" t="str">
        <f>IF(COUNTIFS(TRAZABILIDAD!$A:$A,$A9,TRAZABILIDAD!$B:$B,T$1)&gt;0,"X","")</f>
        <v>X</v>
      </c>
      <c r="U9" s="5" t="str">
        <f>IF(COUNTIFS(TRAZABILIDAD!$A:$A,$A9,TRAZABILIDAD!$B:$B,U$1)&gt;0,"X","")</f>
        <v/>
      </c>
    </row>
    <row r="10" spans="1:21" x14ac:dyDescent="0.3">
      <c r="A10" s="7" t="str">
        <f>UR!A10</f>
        <v>UR-09</v>
      </c>
      <c r="B10" s="5" t="str">
        <f>IF(COUNTIFS(TRAZABILIDAD!$A:$A,$A10,TRAZABILIDAD!$B:$B,B$1)&gt;0,"X","")</f>
        <v/>
      </c>
      <c r="C10" s="5" t="str">
        <f>IF(COUNTIFS(TRAZABILIDAD!$A:$A,$A10,TRAZABILIDAD!$B:$B,C$1)&gt;0,"X","")</f>
        <v/>
      </c>
      <c r="D10" s="5" t="str">
        <f>IF(COUNTIFS(TRAZABILIDAD!$A:$A,$A10,TRAZABILIDAD!$B:$B,D$1)&gt;0,"X","")</f>
        <v/>
      </c>
      <c r="E10" s="5" t="str">
        <f>IF(COUNTIFS(TRAZABILIDAD!$A:$A,$A10,TRAZABILIDAD!$B:$B,E$1)&gt;0,"X","")</f>
        <v/>
      </c>
      <c r="F10" s="5" t="str">
        <f>IF(COUNTIFS(TRAZABILIDAD!$A:$A,$A10,TRAZABILIDAD!$B:$B,F$1)&gt;0,"X","")</f>
        <v/>
      </c>
      <c r="G10" s="5" t="str">
        <f>IF(COUNTIFS(TRAZABILIDAD!$A:$A,$A10,TRAZABILIDAD!$B:$B,G$1)&gt;0,"X","")</f>
        <v/>
      </c>
      <c r="H10" s="5" t="str">
        <f>IF(COUNTIFS(TRAZABILIDAD!$A:$A,$A10,TRAZABILIDAD!$B:$B,H$1)&gt;0,"X","")</f>
        <v/>
      </c>
      <c r="I10" s="5" t="str">
        <f>IF(COUNTIFS(TRAZABILIDAD!$A:$A,$A10,TRAZABILIDAD!$B:$B,I$1)&gt;0,"X","")</f>
        <v/>
      </c>
      <c r="J10" s="5" t="str">
        <f>IF(COUNTIFS(TRAZABILIDAD!$A:$A,$A10,TRAZABILIDAD!$B:$B,J$1)&gt;0,"X","")</f>
        <v>X</v>
      </c>
      <c r="K10" s="5" t="str">
        <f>IF(COUNTIFS(TRAZABILIDAD!$A:$A,$A10,TRAZABILIDAD!$B:$B,K$1)&gt;0,"X","")</f>
        <v>X</v>
      </c>
      <c r="L10" s="5" t="str">
        <f>IF(COUNTIFS(TRAZABILIDAD!$A:$A,$A10,TRAZABILIDAD!$B:$B,L$1)&gt;0,"X","")</f>
        <v/>
      </c>
      <c r="M10" s="5" t="str">
        <f>IF(COUNTIFS(TRAZABILIDAD!$A:$A,$A10,TRAZABILIDAD!$B:$B,M$1)&gt;0,"X","")</f>
        <v/>
      </c>
      <c r="N10" s="5" t="str">
        <f>IF(COUNTIFS(TRAZABILIDAD!$A:$A,$A10,TRAZABILIDAD!$B:$B,N$1)&gt;0,"X","")</f>
        <v/>
      </c>
      <c r="O10" s="5" t="str">
        <f>IF(COUNTIFS(TRAZABILIDAD!$A:$A,$A10,TRAZABILIDAD!$B:$B,O$1)&gt;0,"X","")</f>
        <v>X</v>
      </c>
      <c r="P10" s="5" t="str">
        <f>IF(COUNTIFS(TRAZABILIDAD!$A:$A,$A10,TRAZABILIDAD!$B:$B,P$1)&gt;0,"X","")</f>
        <v/>
      </c>
      <c r="Q10" s="5" t="str">
        <f>IF(COUNTIFS(TRAZABILIDAD!$A:$A,$A10,TRAZABILIDAD!$B:$B,Q$1)&gt;0,"X","")</f>
        <v/>
      </c>
      <c r="R10" s="5" t="str">
        <f>IF(COUNTIFS(TRAZABILIDAD!$A:$A,$A10,TRAZABILIDAD!$B:$B,R$1)&gt;0,"X","")</f>
        <v/>
      </c>
      <c r="S10" s="5" t="str">
        <f>IF(COUNTIFS(TRAZABILIDAD!$A:$A,$A10,TRAZABILIDAD!$B:$B,S$1)&gt;0,"X","")</f>
        <v/>
      </c>
      <c r="T10" s="5" t="str">
        <f>IF(COUNTIFS(TRAZABILIDAD!$A:$A,$A10,TRAZABILIDAD!$B:$B,T$1)&gt;0,"X","")</f>
        <v/>
      </c>
      <c r="U10" s="5" t="str">
        <f>IF(COUNTIFS(TRAZABILIDAD!$A:$A,$A10,TRAZABILIDAD!$B:$B,U$1)&gt;0,"X","")</f>
        <v/>
      </c>
    </row>
    <row r="11" spans="1:21" x14ac:dyDescent="0.3">
      <c r="A11" s="7" t="str">
        <f>UR!A11</f>
        <v>UR-10</v>
      </c>
      <c r="B11" s="5" t="str">
        <f>IF(COUNTIFS(TRAZABILIDAD!$A:$A,$A11,TRAZABILIDAD!$B:$B,B$1)&gt;0,"X","")</f>
        <v/>
      </c>
      <c r="C11" s="5" t="str">
        <f>IF(COUNTIFS(TRAZABILIDAD!$A:$A,$A11,TRAZABILIDAD!$B:$B,C$1)&gt;0,"X","")</f>
        <v/>
      </c>
      <c r="D11" s="5" t="str">
        <f>IF(COUNTIFS(TRAZABILIDAD!$A:$A,$A11,TRAZABILIDAD!$B:$B,D$1)&gt;0,"X","")</f>
        <v/>
      </c>
      <c r="E11" s="5" t="str">
        <f>IF(COUNTIFS(TRAZABILIDAD!$A:$A,$A11,TRAZABILIDAD!$B:$B,E$1)&gt;0,"X","")</f>
        <v/>
      </c>
      <c r="F11" s="5" t="str">
        <f>IF(COUNTIFS(TRAZABILIDAD!$A:$A,$A11,TRAZABILIDAD!$B:$B,F$1)&gt;0,"X","")</f>
        <v/>
      </c>
      <c r="G11" s="5" t="str">
        <f>IF(COUNTIFS(TRAZABILIDAD!$A:$A,$A11,TRAZABILIDAD!$B:$B,G$1)&gt;0,"X","")</f>
        <v/>
      </c>
      <c r="H11" s="5" t="str">
        <f>IF(COUNTIFS(TRAZABILIDAD!$A:$A,$A11,TRAZABILIDAD!$B:$B,H$1)&gt;0,"X","")</f>
        <v/>
      </c>
      <c r="I11" s="5" t="str">
        <f>IF(COUNTIFS(TRAZABILIDAD!$A:$A,$A11,TRAZABILIDAD!$B:$B,I$1)&gt;0,"X","")</f>
        <v/>
      </c>
      <c r="J11" s="5" t="str">
        <f>IF(COUNTIFS(TRAZABILIDAD!$A:$A,$A11,TRAZABILIDAD!$B:$B,J$1)&gt;0,"X","")</f>
        <v/>
      </c>
      <c r="K11" s="5" t="str">
        <f>IF(COUNTIFS(TRAZABILIDAD!$A:$A,$A11,TRAZABILIDAD!$B:$B,K$1)&gt;0,"X","")</f>
        <v/>
      </c>
      <c r="L11" s="5" t="str">
        <f>IF(COUNTIFS(TRAZABILIDAD!$A:$A,$A11,TRAZABILIDAD!$B:$B,L$1)&gt;0,"X","")</f>
        <v/>
      </c>
      <c r="M11" s="5" t="str">
        <f>IF(COUNTIFS(TRAZABILIDAD!$A:$A,$A11,TRAZABILIDAD!$B:$B,M$1)&gt;0,"X","")</f>
        <v/>
      </c>
      <c r="N11" s="5" t="str">
        <f>IF(COUNTIFS(TRAZABILIDAD!$A:$A,$A11,TRAZABILIDAD!$B:$B,N$1)&gt;0,"X","")</f>
        <v/>
      </c>
      <c r="O11" s="5" t="str">
        <f>IF(COUNTIFS(TRAZABILIDAD!$A:$A,$A11,TRAZABILIDAD!$B:$B,O$1)&gt;0,"X","")</f>
        <v/>
      </c>
      <c r="P11" s="5" t="str">
        <f>IF(COUNTIFS(TRAZABILIDAD!$A:$A,$A11,TRAZABILIDAD!$B:$B,P$1)&gt;0,"X","")</f>
        <v/>
      </c>
      <c r="Q11" s="5" t="str">
        <f>IF(COUNTIFS(TRAZABILIDAD!$A:$A,$A11,TRAZABILIDAD!$B:$B,Q$1)&gt;0,"X","")</f>
        <v/>
      </c>
      <c r="R11" s="5" t="str">
        <f>IF(COUNTIFS(TRAZABILIDAD!$A:$A,$A11,TRAZABILIDAD!$B:$B,R$1)&gt;0,"X","")</f>
        <v/>
      </c>
      <c r="S11" s="5" t="str">
        <f>IF(COUNTIFS(TRAZABILIDAD!$A:$A,$A11,TRAZABILIDAD!$B:$B,S$1)&gt;0,"X","")</f>
        <v>X</v>
      </c>
      <c r="T11" s="5" t="str">
        <f>IF(COUNTIFS(TRAZABILIDAD!$A:$A,$A11,TRAZABILIDAD!$B:$B,T$1)&gt;0,"X","")</f>
        <v>X</v>
      </c>
      <c r="U11" s="5" t="str">
        <f>IF(COUNTIFS(TRAZABILIDAD!$A:$A,$A11,TRAZABILIDAD!$B:$B,U$1)&gt;0,"X","")</f>
        <v/>
      </c>
    </row>
    <row r="12" spans="1:21" x14ac:dyDescent="0.3">
      <c r="A12" s="7" t="str">
        <f>UR!A12</f>
        <v>UR-11</v>
      </c>
      <c r="B12" s="5" t="str">
        <f>IF(COUNTIFS(TRAZABILIDAD!$A:$A,$A12,TRAZABILIDAD!$B:$B,B$1)&gt;0,"X","")</f>
        <v/>
      </c>
      <c r="C12" s="5" t="str">
        <f>IF(COUNTIFS(TRAZABILIDAD!$A:$A,$A12,TRAZABILIDAD!$B:$B,C$1)&gt;0,"X","")</f>
        <v/>
      </c>
      <c r="D12" s="5" t="str">
        <f>IF(COUNTIFS(TRAZABILIDAD!$A:$A,$A12,TRAZABILIDAD!$B:$B,D$1)&gt;0,"X","")</f>
        <v/>
      </c>
      <c r="E12" s="5" t="str">
        <f>IF(COUNTIFS(TRAZABILIDAD!$A:$A,$A12,TRAZABILIDAD!$B:$B,E$1)&gt;0,"X","")</f>
        <v/>
      </c>
      <c r="F12" s="5" t="str">
        <f>IF(COUNTIFS(TRAZABILIDAD!$A:$A,$A12,TRAZABILIDAD!$B:$B,F$1)&gt;0,"X","")</f>
        <v/>
      </c>
      <c r="G12" s="5" t="str">
        <f>IF(COUNTIFS(TRAZABILIDAD!$A:$A,$A12,TRAZABILIDAD!$B:$B,G$1)&gt;0,"X","")</f>
        <v/>
      </c>
      <c r="H12" s="5" t="str">
        <f>IF(COUNTIFS(TRAZABILIDAD!$A:$A,$A12,TRAZABILIDAD!$B:$B,H$1)&gt;0,"X","")</f>
        <v/>
      </c>
      <c r="I12" s="5" t="str">
        <f>IF(COUNTIFS(TRAZABILIDAD!$A:$A,$A12,TRAZABILIDAD!$B:$B,I$1)&gt;0,"X","")</f>
        <v/>
      </c>
      <c r="J12" s="5" t="str">
        <f>IF(COUNTIFS(TRAZABILIDAD!$A:$A,$A12,TRAZABILIDAD!$B:$B,J$1)&gt;0,"X","")</f>
        <v/>
      </c>
      <c r="K12" s="5" t="str">
        <f>IF(COUNTIFS(TRAZABILIDAD!$A:$A,$A12,TRAZABILIDAD!$B:$B,K$1)&gt;0,"X","")</f>
        <v/>
      </c>
      <c r="L12" s="5" t="str">
        <f>IF(COUNTIFS(TRAZABILIDAD!$A:$A,$A12,TRAZABILIDAD!$B:$B,L$1)&gt;0,"X","")</f>
        <v/>
      </c>
      <c r="M12" s="5" t="str">
        <f>IF(COUNTIFS(TRAZABILIDAD!$A:$A,$A12,TRAZABILIDAD!$B:$B,M$1)&gt;0,"X","")</f>
        <v/>
      </c>
      <c r="N12" s="5" t="str">
        <f>IF(COUNTIFS(TRAZABILIDAD!$A:$A,$A12,TRAZABILIDAD!$B:$B,N$1)&gt;0,"X","")</f>
        <v/>
      </c>
      <c r="O12" s="5" t="str">
        <f>IF(COUNTIFS(TRAZABILIDAD!$A:$A,$A12,TRAZABILIDAD!$B:$B,O$1)&gt;0,"X","")</f>
        <v/>
      </c>
      <c r="P12" s="5" t="str">
        <f>IF(COUNTIFS(TRAZABILIDAD!$A:$A,$A12,TRAZABILIDAD!$B:$B,P$1)&gt;0,"X","")</f>
        <v/>
      </c>
      <c r="Q12" s="5" t="str">
        <f>IF(COUNTIFS(TRAZABILIDAD!$A:$A,$A12,TRAZABILIDAD!$B:$B,Q$1)&gt;0,"X","")</f>
        <v/>
      </c>
      <c r="R12" s="5" t="str">
        <f>IF(COUNTIFS(TRAZABILIDAD!$A:$A,$A12,TRAZABILIDAD!$B:$B,R$1)&gt;0,"X","")</f>
        <v/>
      </c>
      <c r="S12" s="5" t="str">
        <f>IF(COUNTIFS(TRAZABILIDAD!$A:$A,$A12,TRAZABILIDAD!$B:$B,S$1)&gt;0,"X","")</f>
        <v/>
      </c>
      <c r="T12" s="5" t="str">
        <f>IF(COUNTIFS(TRAZABILIDAD!$A:$A,$A12,TRAZABILIDAD!$B:$B,T$1)&gt;0,"X","")</f>
        <v>X</v>
      </c>
      <c r="U12" s="5" t="str">
        <f>IF(COUNTIFS(TRAZABILIDAD!$A:$A,$A12,TRAZABILIDAD!$B:$B,U$1)&gt;0,"X","")</f>
        <v/>
      </c>
    </row>
    <row r="13" spans="1:21" x14ac:dyDescent="0.3">
      <c r="A13" s="7" t="str">
        <f>UR!A13</f>
        <v>UR-12</v>
      </c>
      <c r="B13" s="5" t="str">
        <f>IF(COUNTIFS(TRAZABILIDAD!$A:$A,$A13,TRAZABILIDAD!$B:$B,B$1)&gt;0,"X","")</f>
        <v/>
      </c>
      <c r="C13" s="5" t="str">
        <f>IF(COUNTIFS(TRAZABILIDAD!$A:$A,$A13,TRAZABILIDAD!$B:$B,C$1)&gt;0,"X","")</f>
        <v/>
      </c>
      <c r="D13" s="5" t="str">
        <f>IF(COUNTIFS(TRAZABILIDAD!$A:$A,$A13,TRAZABILIDAD!$B:$B,D$1)&gt;0,"X","")</f>
        <v/>
      </c>
      <c r="E13" s="5" t="str">
        <f>IF(COUNTIFS(TRAZABILIDAD!$A:$A,$A13,TRAZABILIDAD!$B:$B,E$1)&gt;0,"X","")</f>
        <v/>
      </c>
      <c r="F13" s="5" t="str">
        <f>IF(COUNTIFS(TRAZABILIDAD!$A:$A,$A13,TRAZABILIDAD!$B:$B,F$1)&gt;0,"X","")</f>
        <v/>
      </c>
      <c r="G13" s="5" t="str">
        <f>IF(COUNTIFS(TRAZABILIDAD!$A:$A,$A13,TRAZABILIDAD!$B:$B,G$1)&gt;0,"X","")</f>
        <v>X</v>
      </c>
      <c r="H13" s="5" t="str">
        <f>IF(COUNTIFS(TRAZABILIDAD!$A:$A,$A13,TRAZABILIDAD!$B:$B,H$1)&gt;0,"X","")</f>
        <v/>
      </c>
      <c r="I13" s="5" t="str">
        <f>IF(COUNTIFS(TRAZABILIDAD!$A:$A,$A13,TRAZABILIDAD!$B:$B,I$1)&gt;0,"X","")</f>
        <v>X</v>
      </c>
      <c r="J13" s="5" t="str">
        <f>IF(COUNTIFS(TRAZABILIDAD!$A:$A,$A13,TRAZABILIDAD!$B:$B,J$1)&gt;0,"X","")</f>
        <v/>
      </c>
      <c r="K13" s="5" t="str">
        <f>IF(COUNTIFS(TRAZABILIDAD!$A:$A,$A13,TRAZABILIDAD!$B:$B,K$1)&gt;0,"X","")</f>
        <v/>
      </c>
      <c r="L13" s="5" t="str">
        <f>IF(COUNTIFS(TRAZABILIDAD!$A:$A,$A13,TRAZABILIDAD!$B:$B,L$1)&gt;0,"X","")</f>
        <v/>
      </c>
      <c r="M13" s="5" t="str">
        <f>IF(COUNTIFS(TRAZABILIDAD!$A:$A,$A13,TRAZABILIDAD!$B:$B,M$1)&gt;0,"X","")</f>
        <v/>
      </c>
      <c r="N13" s="5" t="str">
        <f>IF(COUNTIFS(TRAZABILIDAD!$A:$A,$A13,TRAZABILIDAD!$B:$B,N$1)&gt;0,"X","")</f>
        <v/>
      </c>
      <c r="O13" s="5" t="str">
        <f>IF(COUNTIFS(TRAZABILIDAD!$A:$A,$A13,TRAZABILIDAD!$B:$B,O$1)&gt;0,"X","")</f>
        <v/>
      </c>
      <c r="P13" s="5" t="str">
        <f>IF(COUNTIFS(TRAZABILIDAD!$A:$A,$A13,TRAZABILIDAD!$B:$B,P$1)&gt;0,"X","")</f>
        <v/>
      </c>
      <c r="Q13" s="5" t="str">
        <f>IF(COUNTIFS(TRAZABILIDAD!$A:$A,$A13,TRAZABILIDAD!$B:$B,Q$1)&gt;0,"X","")</f>
        <v/>
      </c>
      <c r="R13" s="5" t="str">
        <f>IF(COUNTIFS(TRAZABILIDAD!$A:$A,$A13,TRAZABILIDAD!$B:$B,R$1)&gt;0,"X","")</f>
        <v>X</v>
      </c>
      <c r="S13" s="5" t="str">
        <f>IF(COUNTIFS(TRAZABILIDAD!$A:$A,$A13,TRAZABILIDAD!$B:$B,S$1)&gt;0,"X","")</f>
        <v/>
      </c>
      <c r="T13" s="5" t="str">
        <f>IF(COUNTIFS(TRAZABILIDAD!$A:$A,$A13,TRAZABILIDAD!$B:$B,T$1)&gt;0,"X","")</f>
        <v/>
      </c>
      <c r="U13" s="5" t="str">
        <f>IF(COUNTIFS(TRAZABILIDAD!$A:$A,$A13,TRAZABILIDAD!$B:$B,U$1)&gt;0,"X","")</f>
        <v/>
      </c>
    </row>
    <row r="14" spans="1:21" x14ac:dyDescent="0.3">
      <c r="A14" s="7" t="str">
        <f>UR!A14</f>
        <v>UR-13</v>
      </c>
      <c r="B14" s="5" t="str">
        <f>IF(COUNTIFS(TRAZABILIDAD!$A:$A,$A14,TRAZABILIDAD!$B:$B,B$1)&gt;0,"X","")</f>
        <v/>
      </c>
      <c r="C14" s="5" t="str">
        <f>IF(COUNTIFS(TRAZABILIDAD!$A:$A,$A14,TRAZABILIDAD!$B:$B,C$1)&gt;0,"X","")</f>
        <v/>
      </c>
      <c r="D14" s="5" t="str">
        <f>IF(COUNTIFS(TRAZABILIDAD!$A:$A,$A14,TRAZABILIDAD!$B:$B,D$1)&gt;0,"X","")</f>
        <v/>
      </c>
      <c r="E14" s="5" t="str">
        <f>IF(COUNTIFS(TRAZABILIDAD!$A:$A,$A14,TRAZABILIDAD!$B:$B,E$1)&gt;0,"X","")</f>
        <v/>
      </c>
      <c r="F14" s="5" t="str">
        <f>IF(COUNTIFS(TRAZABILIDAD!$A:$A,$A14,TRAZABILIDAD!$B:$B,F$1)&gt;0,"X","")</f>
        <v/>
      </c>
      <c r="G14" s="5" t="str">
        <f>IF(COUNTIFS(TRAZABILIDAD!$A:$A,$A14,TRAZABILIDAD!$B:$B,G$1)&gt;0,"X","")</f>
        <v/>
      </c>
      <c r="H14" s="5" t="str">
        <f>IF(COUNTIFS(TRAZABILIDAD!$A:$A,$A14,TRAZABILIDAD!$B:$B,H$1)&gt;0,"X","")</f>
        <v/>
      </c>
      <c r="I14" s="5" t="str">
        <f>IF(COUNTIFS(TRAZABILIDAD!$A:$A,$A14,TRAZABILIDAD!$B:$B,I$1)&gt;0,"X","")</f>
        <v/>
      </c>
      <c r="J14" s="5" t="str">
        <f>IF(COUNTIFS(TRAZABILIDAD!$A:$A,$A14,TRAZABILIDAD!$B:$B,J$1)&gt;0,"X","")</f>
        <v/>
      </c>
      <c r="K14" s="5" t="str">
        <f>IF(COUNTIFS(TRAZABILIDAD!$A:$A,$A14,TRAZABILIDAD!$B:$B,K$1)&gt;0,"X","")</f>
        <v/>
      </c>
      <c r="L14" s="5" t="str">
        <f>IF(COUNTIFS(TRAZABILIDAD!$A:$A,$A14,TRAZABILIDAD!$B:$B,L$1)&gt;0,"X","")</f>
        <v/>
      </c>
      <c r="M14" s="5" t="str">
        <f>IF(COUNTIFS(TRAZABILIDAD!$A:$A,$A14,TRAZABILIDAD!$B:$B,M$1)&gt;0,"X","")</f>
        <v/>
      </c>
      <c r="N14" s="5" t="str">
        <f>IF(COUNTIFS(TRAZABILIDAD!$A:$A,$A14,TRAZABILIDAD!$B:$B,N$1)&gt;0,"X","")</f>
        <v>X</v>
      </c>
      <c r="O14" s="5" t="str">
        <f>IF(COUNTIFS(TRAZABILIDAD!$A:$A,$A14,TRAZABILIDAD!$B:$B,O$1)&gt;0,"X","")</f>
        <v/>
      </c>
      <c r="P14" s="5" t="str">
        <f>IF(COUNTIFS(TRAZABILIDAD!$A:$A,$A14,TRAZABILIDAD!$B:$B,P$1)&gt;0,"X","")</f>
        <v>X</v>
      </c>
      <c r="Q14" s="5" t="str">
        <f>IF(COUNTIFS(TRAZABILIDAD!$A:$A,$A14,TRAZABILIDAD!$B:$B,Q$1)&gt;0,"X","")</f>
        <v/>
      </c>
      <c r="R14" s="5" t="str">
        <f>IF(COUNTIFS(TRAZABILIDAD!$A:$A,$A14,TRAZABILIDAD!$B:$B,R$1)&gt;0,"X","")</f>
        <v/>
      </c>
      <c r="S14" s="5" t="str">
        <f>IF(COUNTIFS(TRAZABILIDAD!$A:$A,$A14,TRAZABILIDAD!$B:$B,S$1)&gt;0,"X","")</f>
        <v/>
      </c>
      <c r="T14" s="5" t="str">
        <f>IF(COUNTIFS(TRAZABILIDAD!$A:$A,$A14,TRAZABILIDAD!$B:$B,T$1)&gt;0,"X","")</f>
        <v/>
      </c>
      <c r="U14" s="5" t="str">
        <f>IF(COUNTIFS(TRAZABILIDAD!$A:$A,$A14,TRAZABILIDAD!$B:$B,U$1)&gt;0,"X","")</f>
        <v/>
      </c>
    </row>
    <row r="15" spans="1:21" x14ac:dyDescent="0.3">
      <c r="A15" s="7" t="str">
        <f>UR!A15</f>
        <v>UR-14</v>
      </c>
      <c r="B15" s="5" t="str">
        <f>IF(COUNTIFS(TRAZABILIDAD!$A:$A,$A15,TRAZABILIDAD!$B:$B,B$1)&gt;0,"X","")</f>
        <v/>
      </c>
      <c r="C15" s="5" t="str">
        <f>IF(COUNTIFS(TRAZABILIDAD!$A:$A,$A15,TRAZABILIDAD!$B:$B,C$1)&gt;0,"X","")</f>
        <v/>
      </c>
      <c r="D15" s="5" t="str">
        <f>IF(COUNTIFS(TRAZABILIDAD!$A:$A,$A15,TRAZABILIDAD!$B:$B,D$1)&gt;0,"X","")</f>
        <v/>
      </c>
      <c r="E15" s="5" t="str">
        <f>IF(COUNTIFS(TRAZABILIDAD!$A:$A,$A15,TRAZABILIDAD!$B:$B,E$1)&gt;0,"X","")</f>
        <v/>
      </c>
      <c r="F15" s="5" t="str">
        <f>IF(COUNTIFS(TRAZABILIDAD!$A:$A,$A15,TRAZABILIDAD!$B:$B,F$1)&gt;0,"X","")</f>
        <v/>
      </c>
      <c r="G15" s="5" t="str">
        <f>IF(COUNTIFS(TRAZABILIDAD!$A:$A,$A15,TRAZABILIDAD!$B:$B,G$1)&gt;0,"X","")</f>
        <v/>
      </c>
      <c r="H15" s="5" t="str">
        <f>IF(COUNTIFS(TRAZABILIDAD!$A:$A,$A15,TRAZABILIDAD!$B:$B,H$1)&gt;0,"X","")</f>
        <v/>
      </c>
      <c r="I15" s="5" t="str">
        <f>IF(COUNTIFS(TRAZABILIDAD!$A:$A,$A15,TRAZABILIDAD!$B:$B,I$1)&gt;0,"X","")</f>
        <v/>
      </c>
      <c r="J15" s="5" t="str">
        <f>IF(COUNTIFS(TRAZABILIDAD!$A:$A,$A15,TRAZABILIDAD!$B:$B,J$1)&gt;0,"X","")</f>
        <v/>
      </c>
      <c r="K15" s="5" t="str">
        <f>IF(COUNTIFS(TRAZABILIDAD!$A:$A,$A15,TRAZABILIDAD!$B:$B,K$1)&gt;0,"X","")</f>
        <v/>
      </c>
      <c r="L15" s="5" t="str">
        <f>IF(COUNTIFS(TRAZABILIDAD!$A:$A,$A15,TRAZABILIDAD!$B:$B,L$1)&gt;0,"X","")</f>
        <v/>
      </c>
      <c r="M15" s="5" t="str">
        <f>IF(COUNTIFS(TRAZABILIDAD!$A:$A,$A15,TRAZABILIDAD!$B:$B,M$1)&gt;0,"X","")</f>
        <v/>
      </c>
      <c r="N15" s="5" t="str">
        <f>IF(COUNTIFS(TRAZABILIDAD!$A:$A,$A15,TRAZABILIDAD!$B:$B,N$1)&gt;0,"X","")</f>
        <v/>
      </c>
      <c r="O15" s="5" t="str">
        <f>IF(COUNTIFS(TRAZABILIDAD!$A:$A,$A15,TRAZABILIDAD!$B:$B,O$1)&gt;0,"X","")</f>
        <v/>
      </c>
      <c r="P15" s="5" t="str">
        <f>IF(COUNTIFS(TRAZABILIDAD!$A:$A,$A15,TRAZABILIDAD!$B:$B,P$1)&gt;0,"X","")</f>
        <v/>
      </c>
      <c r="Q15" s="5" t="str">
        <f>IF(COUNTIFS(TRAZABILIDAD!$A:$A,$A15,TRAZABILIDAD!$B:$B,Q$1)&gt;0,"X","")</f>
        <v/>
      </c>
      <c r="R15" s="5" t="str">
        <f>IF(COUNTIFS(TRAZABILIDAD!$A:$A,$A15,TRAZABILIDAD!$B:$B,R$1)&gt;0,"X","")</f>
        <v/>
      </c>
      <c r="S15" s="5" t="str">
        <f>IF(COUNTIFS(TRAZABILIDAD!$A:$A,$A15,TRAZABILIDAD!$B:$B,S$1)&gt;0,"X","")</f>
        <v/>
      </c>
      <c r="T15" s="5" t="str">
        <f>IF(COUNTIFS(TRAZABILIDAD!$A:$A,$A15,TRAZABILIDAD!$B:$B,T$1)&gt;0,"X","")</f>
        <v/>
      </c>
      <c r="U15" s="5" t="str">
        <f>IF(COUNTIFS(TRAZABILIDAD!$A:$A,$A15,TRAZABILIDAD!$B:$B,U$1)&gt;0,"X","")</f>
        <v>X</v>
      </c>
    </row>
  </sheetData>
  <conditionalFormatting sqref="B2:U15">
    <cfRule type="expression" dxfId="0" priority="2">
      <formula>B2="X"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UR</vt:lpstr>
      <vt:lpstr>SR</vt:lpstr>
      <vt:lpstr>TRAZABILIDAD</vt:lpstr>
      <vt:lpstr>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Practico IDI 2</dc:creator>
  <cp:lastModifiedBy>JUAN SEPÚLVEDA</cp:lastModifiedBy>
  <dcterms:created xsi:type="dcterms:W3CDTF">2026-01-07T13:35:58Z</dcterms:created>
  <dcterms:modified xsi:type="dcterms:W3CDTF">2026-01-08T18:49:29Z</dcterms:modified>
</cp:coreProperties>
</file>